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teralengineeringnz.sharepoint.com/sites/LateralJoinerySharedFiles/Shared Documents/"/>
    </mc:Choice>
  </mc:AlternateContent>
  <xr:revisionPtr revIDLastSave="0" documentId="8_{90D13425-6CFD-4519-BA2F-905CDDDA4F43}" xr6:coauthVersionLast="47" xr6:coauthVersionMax="47" xr10:uidLastSave="{00000000-0000-0000-0000-000000000000}"/>
  <bookViews>
    <workbookView xWindow="7170" yWindow="1860" windowWidth="24920" windowHeight="16520" xr2:uid="{A19A2B1A-E75B-4F94-A0A7-6EDF7551D7A9}"/>
  </bookViews>
  <sheets>
    <sheet name="ES52Window" sheetId="1" r:id="rId1"/>
    <sheet name="ES52HingeDoor" sheetId="3" r:id="rId2"/>
    <sheet name="ES127SlidingDoo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2" l="1"/>
  <c r="J15" i="2" s="1"/>
  <c r="J44" i="3"/>
  <c r="J43" i="3"/>
  <c r="J42" i="3"/>
  <c r="J41" i="3"/>
  <c r="J40" i="3"/>
  <c r="J39" i="3"/>
  <c r="J38" i="3"/>
  <c r="J37" i="3"/>
  <c r="J36" i="3"/>
  <c r="J35" i="3"/>
  <c r="J32" i="3"/>
  <c r="J31" i="3"/>
  <c r="J30" i="3"/>
  <c r="J29" i="3"/>
  <c r="J28" i="3"/>
  <c r="J26" i="3"/>
  <c r="J53" i="3"/>
  <c r="J52" i="3"/>
  <c r="J51" i="3"/>
  <c r="J50" i="3"/>
  <c r="J49" i="3"/>
  <c r="J48" i="3"/>
  <c r="J47" i="3"/>
  <c r="J46" i="3"/>
  <c r="J45" i="3"/>
  <c r="J34" i="3"/>
  <c r="J33" i="3"/>
  <c r="J27" i="3"/>
  <c r="J25" i="3"/>
  <c r="J24" i="3"/>
  <c r="J23" i="3"/>
  <c r="J22" i="3"/>
  <c r="J21" i="3"/>
  <c r="J20" i="3"/>
  <c r="J19" i="3"/>
  <c r="I15" i="3"/>
  <c r="J15" i="3" s="1"/>
  <c r="I14" i="3"/>
  <c r="J14" i="3" s="1"/>
  <c r="I13" i="3"/>
  <c r="J13" i="3" s="1"/>
  <c r="I12" i="3"/>
  <c r="J12" i="3" s="1"/>
  <c r="I11" i="3"/>
  <c r="J11" i="3" s="1"/>
  <c r="I10" i="3"/>
  <c r="J10" i="3" s="1"/>
  <c r="I9" i="3"/>
  <c r="J9" i="3" s="1"/>
  <c r="I8" i="3"/>
  <c r="J8" i="3" s="1"/>
  <c r="I7" i="3"/>
  <c r="J7" i="3" s="1"/>
  <c r="I6" i="3"/>
  <c r="J6" i="3" s="1"/>
  <c r="I5" i="3"/>
  <c r="J5" i="3" s="1"/>
  <c r="I4" i="3"/>
  <c r="J4" i="3" s="1"/>
  <c r="I3" i="3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82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s="1"/>
  <c r="I5" i="2"/>
  <c r="J5" i="2" s="1"/>
  <c r="I4" i="2"/>
  <c r="J4" i="2" s="1"/>
  <c r="I3" i="2"/>
  <c r="J29" i="1"/>
  <c r="J28" i="1"/>
  <c r="J27" i="1"/>
  <c r="I27" i="1"/>
  <c r="J26" i="1"/>
  <c r="I26" i="1"/>
  <c r="J25" i="1"/>
  <c r="I25" i="1"/>
  <c r="J24" i="1"/>
  <c r="J23" i="1"/>
  <c r="J22" i="1"/>
  <c r="J21" i="1"/>
  <c r="J20" i="1"/>
  <c r="J19" i="1"/>
  <c r="J18" i="1"/>
  <c r="J17" i="1"/>
  <c r="J30" i="1" s="1"/>
  <c r="I14" i="1"/>
  <c r="I13" i="1"/>
  <c r="J13" i="1" s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J54" i="3" l="1"/>
  <c r="I16" i="3"/>
  <c r="J3" i="3"/>
  <c r="J16" i="3" s="1"/>
  <c r="I29" i="2"/>
  <c r="J3" i="2"/>
  <c r="J29" i="2" s="1"/>
  <c r="J14" i="1"/>
</calcChain>
</file>

<file path=xl/sharedStrings.xml><?xml version="1.0" encoding="utf-8"?>
<sst xmlns="http://schemas.openxmlformats.org/spreadsheetml/2006/main" count="490" uniqueCount="265">
  <si>
    <t>ES52 window</t>
  </si>
  <si>
    <t>Series</t>
  </si>
  <si>
    <t>Mould NO.</t>
  </si>
  <si>
    <t>Surface</t>
  </si>
  <si>
    <t>Pieces</t>
  </si>
  <si>
    <t>Length(m)</t>
  </si>
  <si>
    <t>kg/m</t>
  </si>
  <si>
    <t>U/P(USD)</t>
  </si>
  <si>
    <t>Weight (KG)</t>
  </si>
  <si>
    <t>Amount(USD)</t>
  </si>
  <si>
    <t>ES52 Window</t>
  </si>
  <si>
    <t>0015032</t>
  </si>
  <si>
    <t>Mill Finish</t>
  </si>
  <si>
    <t>0017133</t>
  </si>
  <si>
    <t>HYX87838</t>
  </si>
  <si>
    <t>E0026001</t>
  </si>
  <si>
    <t>E0026002</t>
  </si>
  <si>
    <t>2020250</t>
  </si>
  <si>
    <t>JL3600</t>
  </si>
  <si>
    <t>Totally</t>
  </si>
  <si>
    <t>ES52 Window  Accessories</t>
  </si>
  <si>
    <t>ES52</t>
  </si>
  <si>
    <t>Name</t>
  </si>
  <si>
    <t>Code</t>
  </si>
  <si>
    <t>Colour</t>
  </si>
  <si>
    <t>Price（USD）</t>
  </si>
  <si>
    <t>Net quantity</t>
  </si>
  <si>
    <t>Order
(Per Package)</t>
  </si>
  <si>
    <t>Pieces per packag</t>
  </si>
  <si>
    <t>3mm platic for glass</t>
  </si>
  <si>
    <t>0550083 04</t>
  </si>
  <si>
    <t>Black</t>
  </si>
  <si>
    <t>5mm platic for glass</t>
  </si>
  <si>
    <t>0550085 04</t>
  </si>
  <si>
    <t>14mm fix plate</t>
  </si>
  <si>
    <t>0507002 00</t>
  </si>
  <si>
    <t>Material colour</t>
  </si>
  <si>
    <t>18/13.6mm corner</t>
  </si>
  <si>
    <t>0502310 00</t>
  </si>
  <si>
    <t>11/5.6mm corner</t>
  </si>
  <si>
    <t>0502312 00</t>
  </si>
  <si>
    <t>26.6mm T-connector（Including two screws）</t>
  </si>
  <si>
    <t>0503222 00</t>
  </si>
  <si>
    <t>Outside opening frame 18/11mm T-connector</t>
  </si>
  <si>
    <t>0503732 00</t>
  </si>
  <si>
    <t>φ5x8mm screw</t>
  </si>
  <si>
    <t>0682003 SS</t>
  </si>
  <si>
    <t>SUS</t>
  </si>
  <si>
    <t>Rubber Gasket</t>
  </si>
  <si>
    <t>0808102 04</t>
  </si>
  <si>
    <t>Rubber Gasket  for outer glass</t>
  </si>
  <si>
    <t>0808204 04</t>
  </si>
  <si>
    <t>0808305 04</t>
  </si>
  <si>
    <t>14 inch friction trainer</t>
  </si>
  <si>
    <t>FJ600A-14"</t>
  </si>
  <si>
    <t>Steel</t>
  </si>
  <si>
    <t>Limiter</t>
  </si>
  <si>
    <t>XW15</t>
  </si>
  <si>
    <t>Totally Amount</t>
  </si>
  <si>
    <t>0011133</t>
  </si>
  <si>
    <t>0100122</t>
  </si>
  <si>
    <t>0101008</t>
  </si>
  <si>
    <t>0200122</t>
  </si>
  <si>
    <t>0200304</t>
  </si>
  <si>
    <t>0204102</t>
  </si>
  <si>
    <t>0209016</t>
  </si>
  <si>
    <t>0209112</t>
  </si>
  <si>
    <t>0209120</t>
  </si>
  <si>
    <t>0209210</t>
  </si>
  <si>
    <t>0209252</t>
  </si>
  <si>
    <t>0355313</t>
  </si>
  <si>
    <t>ES127 Accessories</t>
  </si>
  <si>
    <t>ES127</t>
  </si>
  <si>
    <t>ES127 sliding Hardware</t>
  </si>
  <si>
    <t>ES127 Awning Hardware</t>
  </si>
  <si>
    <t>Hinged insulation profile (144/152/116)</t>
  </si>
  <si>
    <t>0100104 04</t>
  </si>
  <si>
    <t>Black plastic</t>
  </si>
  <si>
    <t>Stainless steel rail</t>
  </si>
  <si>
    <t>0110019 SS</t>
  </si>
  <si>
    <t>stainless steel</t>
  </si>
  <si>
    <t>Process hole CAP  Φ10 (with EOSS logo   black)</t>
  </si>
  <si>
    <t>0550065 04</t>
  </si>
  <si>
    <t>Glass cushion block with different thicknesses (for reminder</t>
  </si>
  <si>
    <t>0550080 04</t>
  </si>
  <si>
    <t>WATER DRAIN HOLE CAP</t>
  </si>
  <si>
    <t>0550104 04</t>
  </si>
  <si>
    <t>Hook edge SEALING BLOCK FOR ES120 _ Top and bottom 2 pieces,</t>
  </si>
  <si>
    <t>0550120 04</t>
  </si>
  <si>
    <t>Hook edge SEALING BLOCK FOR ES120 _ Upper Inner</t>
  </si>
  <si>
    <t>0550121 04</t>
  </si>
  <si>
    <t>Hook edge SEALING BLOCK FOR ES120_ Lower internal hardness</t>
  </si>
  <si>
    <t>0550122 04</t>
  </si>
  <si>
    <t>SEALING BLOCK FOR ES120</t>
  </si>
  <si>
    <t>0550128 04</t>
  </si>
  <si>
    <t>Windproof drain valve</t>
  </si>
  <si>
    <t>0550139 04</t>
  </si>
  <si>
    <t>ES152 Sealing Block    Monorail Lower    Ordinary</t>
  </si>
  <si>
    <t>0550159 04</t>
  </si>
  <si>
    <t>SEALING BLOCK FOR ES152 (Up  Ordinary/Lifting)</t>
  </si>
  <si>
    <t>0550160 04</t>
  </si>
  <si>
    <t>GAP BLOCK FOR LIFT-SLIDING DOOR   146 NEW   ES120</t>
  </si>
  <si>
    <t>0550246 04</t>
  </si>
  <si>
    <t>25mm Cache block (Unpriced 120MXL)</t>
  </si>
  <si>
    <t>0550266 04</t>
  </si>
  <si>
    <t>Hook edge SEALING BLOCK FOR ES120_ Lower inner soft  low rai</t>
  </si>
  <si>
    <t>0550312 04</t>
  </si>
  <si>
    <t>28mm GLASS SUPPORT</t>
  </si>
  <si>
    <t>0550722 04</t>
  </si>
  <si>
    <t>37mm GLASS SUPPORT</t>
  </si>
  <si>
    <t>0550731 04</t>
  </si>
  <si>
    <t>GLASS SUPPORT</t>
  </si>
  <si>
    <t>0550732 04</t>
  </si>
  <si>
    <t>CLIP ANTI-THEFT</t>
  </si>
  <si>
    <t>0551461 04</t>
  </si>
  <si>
    <t>STREAM DEFLECTOR 0003726</t>
  </si>
  <si>
    <t>0553727 04</t>
  </si>
  <si>
    <t>11/41mm CORNER CONNECTOR (Unpriced)</t>
  </si>
  <si>
    <t>0502871 00</t>
  </si>
  <si>
    <t>Plain color</t>
  </si>
  <si>
    <t>13/17.5mm T-CONNECTOR</t>
  </si>
  <si>
    <t>0503401 00</t>
  </si>
  <si>
    <t>0503402 00</t>
  </si>
  <si>
    <t>18/17.5mm T-CONNECTOR  Including nuts and nails</t>
  </si>
  <si>
    <t>0503603 00</t>
  </si>
  <si>
    <t>0503613 00</t>
  </si>
  <si>
    <t>10.5/23.3mm CORNER CONNECTOR  Unpriced EL138  GYP20221108</t>
  </si>
  <si>
    <t>0504570 00</t>
  </si>
  <si>
    <t>7.5/26mm CORNER CONNECTOR</t>
  </si>
  <si>
    <t>0504723 00</t>
  </si>
  <si>
    <t>13/13mm CORNER CONNECTOR (Unpriced) 1240182</t>
  </si>
  <si>
    <t>0504834 00</t>
  </si>
  <si>
    <t>53/13mm CORNER CONNECTOR  (Unpriced) 1240111</t>
  </si>
  <si>
    <t>0504852 00</t>
  </si>
  <si>
    <t>20mm Corner fixing piece</t>
  </si>
  <si>
    <t>0507000 00</t>
  </si>
  <si>
    <t>18.5mm Corner fixing piece</t>
  </si>
  <si>
    <t>0507001 00</t>
  </si>
  <si>
    <t>13mm Corner fixing piece（JM）</t>
  </si>
  <si>
    <t>0507013 00</t>
  </si>
  <si>
    <t>Stainless steel pan head selftapping screw ST3.5x9.5</t>
  </si>
  <si>
    <t>0602110 SS</t>
  </si>
  <si>
    <t>Stainless steel pan head selftapping screw ST4.2x19</t>
  </si>
  <si>
    <t>0603119 SS</t>
  </si>
  <si>
    <t>Stainless steel countersunk head selftapping screw ST4.2x13</t>
  </si>
  <si>
    <t>0603213 SS</t>
  </si>
  <si>
    <t>0603213.SS</t>
  </si>
  <si>
    <t>Stainless steel countersunk head selftapping screw ST4.2x32</t>
  </si>
  <si>
    <t>0603232 SS</t>
  </si>
  <si>
    <t>Anti-collision block</t>
  </si>
  <si>
    <t>0731747</t>
  </si>
  <si>
    <t>black</t>
  </si>
  <si>
    <t>Sealing gasket  Unpriced  Same as 102</t>
  </si>
  <si>
    <t>0808111 04</t>
  </si>
  <si>
    <t>Outer glass gasket</t>
  </si>
  <si>
    <t>Inner glazing gasket</t>
  </si>
  <si>
    <t>0808306 04</t>
  </si>
  <si>
    <t>4MM round gasket</t>
  </si>
  <si>
    <t>0808504 04</t>
  </si>
  <si>
    <t>Sealing gasket</t>
  </si>
  <si>
    <t>0808535 04</t>
  </si>
  <si>
    <t>gasket</t>
  </si>
  <si>
    <t>0808586 04</t>
  </si>
  <si>
    <t>0808595 04</t>
  </si>
  <si>
    <t>0808762 04</t>
  </si>
  <si>
    <t>Sliding window gasket</t>
  </si>
  <si>
    <t>0809000 04</t>
  </si>
  <si>
    <t>Accessories totally</t>
  </si>
  <si>
    <t>HYX87838 = Dulux Iron Sand color</t>
  </si>
  <si>
    <t>JL3600 = Dulux FlaxPod color</t>
  </si>
  <si>
    <t>The price is in USD convert to NZD average x 1.7</t>
  </si>
  <si>
    <t>These numbers are for 10 complete sets of sliding doors</t>
  </si>
  <si>
    <t>NO</t>
  </si>
  <si>
    <t xml:space="preserve">ES52 Door </t>
  </si>
  <si>
    <t>0010175</t>
  </si>
  <si>
    <t>0035223</t>
  </si>
  <si>
    <t>E0026004</t>
  </si>
  <si>
    <t>0020322</t>
  </si>
  <si>
    <t>0021801</t>
  </si>
  <si>
    <t>0022200</t>
  </si>
  <si>
    <t>0011808</t>
  </si>
  <si>
    <t>ES52 Door Accessories</t>
  </si>
  <si>
    <t>0550082/3/5</t>
  </si>
  <si>
    <t>0550104</t>
  </si>
  <si>
    <t>0550722</t>
  </si>
  <si>
    <t>ES52 waterproof rubber pad (13MM)</t>
  </si>
  <si>
    <t>0815201</t>
  </si>
  <si>
    <t>STREAM DEFLECTOR 0003733</t>
  </si>
  <si>
    <t>0553730</t>
  </si>
  <si>
    <t>0553727</t>
  </si>
  <si>
    <t>Sealant corner for frame</t>
  </si>
  <si>
    <t>0818005</t>
  </si>
  <si>
    <t>5/10.5mm T-CONNECTOR</t>
  </si>
  <si>
    <t>0503751</t>
  </si>
  <si>
    <t>0507000</t>
  </si>
  <si>
    <t>14mm Corner fixing piece</t>
  </si>
  <si>
    <t>0507002</t>
  </si>
  <si>
    <t>Locking T-connector   1 pair</t>
  </si>
  <si>
    <t>0502200</t>
  </si>
  <si>
    <t>27/39mm CORNER CONNECTOR</t>
  </si>
  <si>
    <t>0502341</t>
  </si>
  <si>
    <t xml:space="preserve">11/31mm CORNER CONNECTOR  </t>
  </si>
  <si>
    <t>0502522</t>
  </si>
  <si>
    <t>15/33mm CORNER CONNECTOR</t>
  </si>
  <si>
    <t>0504747</t>
  </si>
  <si>
    <t>8/26mm CORNER CONNECTOR</t>
  </si>
  <si>
    <t>0504872</t>
  </si>
  <si>
    <t>13.6mm T-CONNECTOR (Including 1 nail)</t>
  </si>
  <si>
    <t>0503111</t>
  </si>
  <si>
    <t>Stainless steel countersunk head screw M5x45 (Cylinder)</t>
  </si>
  <si>
    <t>0612245</t>
  </si>
  <si>
    <t>Stainless steel countersunk head screw M5x75 (Door handle)</t>
  </si>
  <si>
    <t>0612275</t>
  </si>
  <si>
    <t>φ5x8mm PIN</t>
  </si>
  <si>
    <t>0682003</t>
  </si>
  <si>
    <t xml:space="preserve">8*105MM Steel SQUARE SPINDLE </t>
  </si>
  <si>
    <t>0702407</t>
  </si>
  <si>
    <t>55/31 Knob lock cylinder</t>
  </si>
  <si>
    <t>0711024</t>
  </si>
  <si>
    <t>Side hung door clamping three-dimensional adjustable hinge</t>
  </si>
  <si>
    <t>0745861.E1/
E3</t>
  </si>
  <si>
    <t>Silver/黑色</t>
  </si>
  <si>
    <t>0745862.E1/
E3</t>
  </si>
  <si>
    <t>Square shaft handle with base</t>
  </si>
  <si>
    <t>0755044.E1/
E3</t>
  </si>
  <si>
    <t>Lock-nail</t>
  </si>
  <si>
    <t>0755103</t>
  </si>
  <si>
    <t>Lock seat (unpriced)</t>
  </si>
  <si>
    <t>0755123</t>
  </si>
  <si>
    <t>0755322</t>
  </si>
  <si>
    <t>0755324</t>
  </si>
  <si>
    <t>CENTER GASKET</t>
  </si>
  <si>
    <t>0808005</t>
  </si>
  <si>
    <t>0808106</t>
  </si>
  <si>
    <t>0808204</t>
  </si>
  <si>
    <t>0808306</t>
  </si>
  <si>
    <t>0808504</t>
  </si>
  <si>
    <t>0808702</t>
  </si>
  <si>
    <t>0808744</t>
  </si>
  <si>
    <t>NOTES: ES52HingeDoor</t>
  </si>
  <si>
    <t>"Net quantity" in door accessories is the amount of each item required for 1 set.</t>
  </si>
  <si>
    <t xml:space="preserve">"Order (per package) is the qty of parts in the suppliers pacakge, for placing order </t>
  </si>
  <si>
    <t>Total price</t>
  </si>
  <si>
    <t>"Net quantity" in accessories is the amount of each item required for 1 set.</t>
  </si>
  <si>
    <t>AWNING</t>
  </si>
  <si>
    <t>1 AWNING 
1 FIIXED</t>
  </si>
  <si>
    <t>2 AWNING
1 FIXED</t>
  </si>
  <si>
    <t>WIDTH</t>
  </si>
  <si>
    <t>HEIGHT</t>
  </si>
  <si>
    <t>Friction Stay 
Spacer</t>
  </si>
  <si>
    <t>BEAD</t>
  </si>
  <si>
    <t>EXTERIOR</t>
  </si>
  <si>
    <t>SASH</t>
  </si>
  <si>
    <t>MULLION</t>
  </si>
  <si>
    <t>TOTAL Sets</t>
  </si>
  <si>
    <t>Qty 20 Sets</t>
  </si>
  <si>
    <t>Qty 50 Sets</t>
  </si>
  <si>
    <t>Qty 30 sets</t>
  </si>
  <si>
    <t>These numbers are for 100 complete sets of windows in their respecitve configurations i.e Awning @1000x1200mm and its associated profiles for a total of 20 sets. Or 1awning1fixed @1800x1300 and its assocaited profiles for 50sets, 2awnings1fixed @2400x1300 and its associated profiles for 30sets. The window accessories are for the total 100 windows</t>
  </si>
  <si>
    <t>Total Weight KG</t>
  </si>
  <si>
    <t>Total Price</t>
  </si>
  <si>
    <t>ES127 Sliding Door Aluminium profiles</t>
  </si>
  <si>
    <t>ES52 Hinge Door</t>
  </si>
  <si>
    <t>NOTES: ES52Windows</t>
  </si>
  <si>
    <t>NOTES: ES127 Sliding 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</si>
</sst>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;[Red]0.000"/>
    <numFmt numFmtId="165" formatCode="#,##0.00;[Red]#,##0.00"/>
    <numFmt numFmtId="166" formatCode="0.00_);[Red]\(0.00\)"/>
    <numFmt numFmtId="167" formatCode="0.00_ "/>
    <numFmt numFmtId="168" formatCode="#,##0;[Red]#,##0"/>
    <numFmt numFmtId="169" formatCode="0.00;[Red]0.00"/>
  </numFmts>
  <fonts count="12">
    <font>
      <sz val="11"/>
      <color theme="1"/>
      <name val="Aptos Narrow"/>
      <family val="2"/>
      <scheme val="minor"/>
    </font>
    <font>
      <b/>
      <sz val="10"/>
      <name val="Cambria"/>
      <family val="1"/>
    </font>
    <font>
      <b/>
      <sz val="10"/>
      <name val="宋体"/>
    </font>
    <font>
      <b/>
      <sz val="12"/>
      <name val="宋体"/>
    </font>
    <font>
      <sz val="11"/>
      <color theme="1"/>
      <name val="Aptos Narrow"/>
      <family val="3"/>
      <charset val="129"/>
      <scheme val="minor"/>
    </font>
    <font>
      <sz val="10"/>
      <name val="Cambria"/>
      <family val="1"/>
    </font>
    <font>
      <b/>
      <sz val="12"/>
      <color theme="1"/>
      <name val="宋体"/>
    </font>
    <font>
      <b/>
      <sz val="11"/>
      <color theme="1"/>
      <name val="宋体"/>
    </font>
    <font>
      <b/>
      <sz val="14"/>
      <color rgb="FF00B0F0"/>
      <name val="Cambria"/>
      <family val="1"/>
    </font>
    <font>
      <b/>
      <sz val="14"/>
      <color rgb="FF00B0F0"/>
      <name val="宋体"/>
    </font>
    <font>
      <b/>
      <sz val="14"/>
      <color theme="1"/>
      <name val="宋体"/>
    </font>
    <font>
      <sz val="11"/>
      <name val="Cambria"/>
      <family val="1"/>
    </font>
  </fonts>
  <fills count="10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18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 wrapText="1"/>
    </xf>
    <xf numFmtId="165" fontId="1" fillId="5" borderId="4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49" fontId="3" fillId="3" borderId="7" xfId="1" applyNumberFormat="1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164" fontId="1" fillId="5" borderId="3" xfId="0" applyNumberFormat="1" applyFont="1" applyFill="1" applyBorder="1" applyAlignment="1">
      <alignment horizontal="center" vertical="center" wrapText="1"/>
    </xf>
    <xf numFmtId="165" fontId="1" fillId="5" borderId="3" xfId="0" applyNumberFormat="1" applyFont="1" applyFill="1" applyBorder="1" applyAlignment="1">
      <alignment horizontal="center" vertical="center" wrapText="1"/>
    </xf>
    <xf numFmtId="49" fontId="3" fillId="3" borderId="10" xfId="1" applyNumberFormat="1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49" fontId="3" fillId="0" borderId="3" xfId="2" applyNumberFormat="1" applyFont="1" applyBorder="1" applyAlignment="1">
      <alignment horizontal="center" vertical="center" wrapText="1"/>
    </xf>
    <xf numFmtId="166" fontId="3" fillId="0" borderId="3" xfId="2" applyNumberFormat="1" applyFont="1" applyBorder="1" applyAlignment="1">
      <alignment horizontal="center" vertical="center" wrapText="1"/>
    </xf>
    <xf numFmtId="0" fontId="3" fillId="0" borderId="3" xfId="2" applyFont="1" applyBorder="1" applyAlignment="1">
      <alignment horizontal="center" vertical="center" wrapText="1"/>
    </xf>
    <xf numFmtId="167" fontId="5" fillId="0" borderId="3" xfId="0" applyNumberFormat="1" applyFont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 wrapText="1"/>
    </xf>
    <xf numFmtId="0" fontId="6" fillId="3" borderId="3" xfId="2" quotePrefix="1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166" fontId="6" fillId="0" borderId="3" xfId="2" applyNumberFormat="1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6" borderId="3" xfId="3" applyFont="1" applyFill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4" borderId="3" xfId="2" quotePrefix="1" applyFont="1" applyFill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5" fillId="0" borderId="0" xfId="0" applyFont="1"/>
    <xf numFmtId="0" fontId="9" fillId="0" borderId="3" xfId="3" applyFont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 wrapText="1"/>
    </xf>
    <xf numFmtId="0" fontId="7" fillId="4" borderId="3" xfId="1" quotePrefix="1" applyFont="1" applyFill="1" applyBorder="1" applyAlignment="1">
      <alignment horizontal="center" vertical="center"/>
    </xf>
    <xf numFmtId="0" fontId="7" fillId="3" borderId="3" xfId="1" applyFont="1" applyFill="1" applyBorder="1" applyAlignment="1">
      <alignment horizontal="center" vertical="center"/>
    </xf>
    <xf numFmtId="166" fontId="7" fillId="0" borderId="3" xfId="1" applyNumberFormat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9" fillId="0" borderId="3" xfId="4" applyFont="1" applyBorder="1" applyAlignment="1">
      <alignment horizontal="center" vertical="center"/>
    </xf>
    <xf numFmtId="0" fontId="7" fillId="0" borderId="3" xfId="4" applyFont="1" applyBorder="1" applyAlignment="1">
      <alignment horizontal="center" vertical="center"/>
    </xf>
    <xf numFmtId="0" fontId="7" fillId="3" borderId="3" xfId="1" quotePrefix="1" applyFont="1" applyFill="1" applyBorder="1" applyAlignment="1">
      <alignment horizontal="center" vertical="center"/>
    </xf>
    <xf numFmtId="0" fontId="9" fillId="5" borderId="3" xfId="4" applyFont="1" applyFill="1" applyBorder="1" applyAlignment="1">
      <alignment horizontal="center" vertical="center"/>
    </xf>
    <xf numFmtId="0" fontId="6" fillId="0" borderId="3" xfId="4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7" fontId="5" fillId="0" borderId="4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49" fontId="3" fillId="0" borderId="6" xfId="2" applyNumberFormat="1" applyFont="1" applyBorder="1" applyAlignment="1">
      <alignment horizontal="center" vertical="center" wrapText="1"/>
    </xf>
    <xf numFmtId="49" fontId="3" fillId="0" borderId="5" xfId="2" applyNumberFormat="1" applyFont="1" applyBorder="1" applyAlignment="1">
      <alignment horizontal="center" vertical="center" wrapText="1"/>
    </xf>
    <xf numFmtId="49" fontId="3" fillId="0" borderId="4" xfId="2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/>
    </xf>
    <xf numFmtId="0" fontId="7" fillId="3" borderId="6" xfId="1" applyFont="1" applyFill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3" borderId="17" xfId="1" quotePrefix="1" applyFont="1" applyFill="1" applyBorder="1" applyAlignment="1">
      <alignment horizontal="center" vertical="center" wrapText="1"/>
    </xf>
    <xf numFmtId="0" fontId="6" fillId="4" borderId="18" xfId="1" applyFont="1" applyFill="1" applyBorder="1" applyAlignment="1">
      <alignment horizontal="center" vertical="center" wrapText="1"/>
    </xf>
    <xf numFmtId="166" fontId="6" fillId="0" borderId="18" xfId="1" applyNumberFormat="1" applyFont="1" applyBorder="1" applyAlignment="1">
      <alignment horizontal="center" vertical="center" wrapText="1"/>
    </xf>
    <xf numFmtId="0" fontId="6" fillId="3" borderId="18" xfId="1" applyFont="1" applyFill="1" applyBorder="1" applyAlignment="1">
      <alignment horizontal="center" vertical="center" wrapText="1"/>
    </xf>
    <xf numFmtId="0" fontId="6" fillId="0" borderId="18" xfId="1" applyFont="1" applyBorder="1" applyAlignment="1">
      <alignment horizontal="center" vertical="center" wrapText="1"/>
    </xf>
    <xf numFmtId="167" fontId="5" fillId="0" borderId="19" xfId="0" applyNumberFormat="1" applyFont="1" applyBorder="1" applyAlignment="1">
      <alignment horizontal="center" vertical="center" wrapText="1"/>
    </xf>
    <xf numFmtId="0" fontId="6" fillId="7" borderId="20" xfId="1" quotePrefix="1" applyFont="1" applyFill="1" applyBorder="1" applyAlignment="1">
      <alignment horizontal="center" vertical="center" wrapText="1"/>
    </xf>
    <xf numFmtId="0" fontId="6" fillId="4" borderId="3" xfId="1" applyFont="1" applyFill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166" fontId="6" fillId="0" borderId="3" xfId="1" applyNumberFormat="1" applyFont="1" applyBorder="1" applyAlignment="1">
      <alignment horizontal="center" vertical="center" wrapText="1"/>
    </xf>
    <xf numFmtId="167" fontId="5" fillId="0" borderId="21" xfId="0" applyNumberFormat="1" applyFont="1" applyBorder="1" applyAlignment="1">
      <alignment horizontal="center" vertical="center" wrapText="1"/>
    </xf>
    <xf numFmtId="0" fontId="6" fillId="0" borderId="20" xfId="1" quotePrefix="1" applyFont="1" applyBorder="1" applyAlignment="1">
      <alignment horizontal="center" vertical="center" wrapText="1"/>
    </xf>
    <xf numFmtId="0" fontId="7" fillId="6" borderId="3" xfId="1" applyFont="1" applyFill="1" applyBorder="1" applyAlignment="1">
      <alignment horizontal="center" vertical="center" wrapText="1"/>
    </xf>
    <xf numFmtId="0" fontId="6" fillId="0" borderId="22" xfId="1" quotePrefix="1" applyFont="1" applyBorder="1" applyAlignment="1">
      <alignment horizontal="center" vertical="center" wrapText="1"/>
    </xf>
    <xf numFmtId="0" fontId="6" fillId="4" borderId="23" xfId="1" applyFont="1" applyFill="1" applyBorder="1" applyAlignment="1">
      <alignment horizontal="center" vertical="center" wrapText="1"/>
    </xf>
    <xf numFmtId="166" fontId="6" fillId="0" borderId="23" xfId="1" applyNumberFormat="1" applyFont="1" applyBorder="1" applyAlignment="1">
      <alignment horizontal="center" vertical="center" wrapText="1"/>
    </xf>
    <xf numFmtId="0" fontId="6" fillId="0" borderId="23" xfId="1" applyFont="1" applyBorder="1" applyAlignment="1">
      <alignment horizontal="center" vertical="center" wrapText="1"/>
    </xf>
    <xf numFmtId="167" fontId="5" fillId="0" borderId="24" xfId="0" applyNumberFormat="1" applyFont="1" applyBorder="1" applyAlignment="1">
      <alignment horizontal="center" vertical="center" wrapText="1"/>
    </xf>
    <xf numFmtId="0" fontId="6" fillId="3" borderId="4" xfId="1" quotePrefix="1" applyFont="1" applyFill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7" fillId="6" borderId="4" xfId="1" applyFont="1" applyFill="1" applyBorder="1" applyAlignment="1">
      <alignment horizontal="center" vertical="center" wrapText="1"/>
    </xf>
    <xf numFmtId="166" fontId="6" fillId="0" borderId="4" xfId="1" applyNumberFormat="1" applyFont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167" fontId="5" fillId="0" borderId="4" xfId="0" applyNumberFormat="1" applyFont="1" applyBorder="1" applyAlignment="1">
      <alignment horizontal="center" vertical="center" wrapText="1"/>
    </xf>
    <xf numFmtId="0" fontId="6" fillId="0" borderId="3" xfId="1" quotePrefix="1" applyFont="1" applyBorder="1" applyAlignment="1">
      <alignment horizontal="center" vertical="center" wrapText="1"/>
    </xf>
    <xf numFmtId="167" fontId="5" fillId="0" borderId="3" xfId="0" applyNumberFormat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66" fontId="6" fillId="0" borderId="3" xfId="1" applyNumberFormat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 wrapText="1"/>
    </xf>
    <xf numFmtId="166" fontId="7" fillId="0" borderId="3" xfId="1" applyNumberFormat="1" applyFont="1" applyBorder="1" applyAlignment="1">
      <alignment horizontal="center" vertical="center" wrapText="1"/>
    </xf>
    <xf numFmtId="167" fontId="11" fillId="0" borderId="3" xfId="0" applyNumberFormat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6" borderId="3" xfId="1" applyFont="1" applyFill="1" applyBorder="1" applyAlignment="1">
      <alignment horizontal="center" vertical="center" wrapText="1"/>
    </xf>
    <xf numFmtId="0" fontId="6" fillId="6" borderId="3" xfId="1" applyFont="1" applyFill="1" applyBorder="1" applyAlignment="1">
      <alignment horizontal="center" vertical="center"/>
    </xf>
    <xf numFmtId="0" fontId="5" fillId="6" borderId="3" xfId="0" applyFont="1" applyFill="1" applyBorder="1"/>
    <xf numFmtId="167" fontId="5" fillId="6" borderId="3" xfId="0" applyNumberFormat="1" applyFont="1" applyFill="1" applyBorder="1" applyAlignment="1">
      <alignment horizontal="center" vertical="center"/>
    </xf>
    <xf numFmtId="0" fontId="6" fillId="0" borderId="3" xfId="1" quotePrefix="1" applyFont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68" fontId="1" fillId="0" borderId="3" xfId="0" applyNumberFormat="1" applyFont="1" applyBorder="1" applyAlignment="1">
      <alignment horizontal="center" vertical="center" wrapText="1"/>
    </xf>
    <xf numFmtId="169" fontId="1" fillId="0" borderId="3" xfId="0" applyNumberFormat="1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 wrapText="1"/>
    </xf>
    <xf numFmtId="165" fontId="1" fillId="0" borderId="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49" fontId="3" fillId="8" borderId="25" xfId="0" applyNumberFormat="1" applyFont="1" applyFill="1" applyBorder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164" fontId="1" fillId="9" borderId="18" xfId="0" applyNumberFormat="1" applyFont="1" applyFill="1" applyBorder="1" applyAlignment="1">
      <alignment horizontal="center" vertical="center" wrapText="1"/>
    </xf>
    <xf numFmtId="164" fontId="1" fillId="0" borderId="18" xfId="0" applyNumberFormat="1" applyFont="1" applyBorder="1" applyAlignment="1">
      <alignment horizontal="center" vertical="center" wrapText="1"/>
    </xf>
    <xf numFmtId="165" fontId="1" fillId="0" borderId="18" xfId="0" applyNumberFormat="1" applyFont="1" applyBorder="1" applyAlignment="1">
      <alignment horizontal="center" vertical="center" wrapText="1"/>
    </xf>
    <xf numFmtId="165" fontId="1" fillId="0" borderId="19" xfId="0" applyNumberFormat="1" applyFont="1" applyBorder="1" applyAlignment="1">
      <alignment horizontal="center" vertical="center" wrapText="1"/>
    </xf>
    <xf numFmtId="49" fontId="3" fillId="0" borderId="26" xfId="0" applyNumberFormat="1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165" fontId="1" fillId="0" borderId="21" xfId="0" applyNumberFormat="1" applyFont="1" applyBorder="1" applyAlignment="1">
      <alignment horizontal="center" vertical="center" wrapText="1"/>
    </xf>
    <xf numFmtId="49" fontId="3" fillId="8" borderId="20" xfId="0" applyNumberFormat="1" applyFont="1" applyFill="1" applyBorder="1" applyAlignment="1">
      <alignment horizontal="center" vertical="center" wrapText="1"/>
    </xf>
    <xf numFmtId="164" fontId="1" fillId="9" borderId="3" xfId="0" applyNumberFormat="1" applyFont="1" applyFill="1" applyBorder="1" applyAlignment="1">
      <alignment horizontal="center" vertical="center" wrapText="1"/>
    </xf>
    <xf numFmtId="49" fontId="3" fillId="0" borderId="22" xfId="0" applyNumberFormat="1" applyFont="1" applyBorder="1" applyAlignment="1">
      <alignment horizontal="center" vertical="center" wrapText="1"/>
    </xf>
    <xf numFmtId="0" fontId="1" fillId="4" borderId="23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164" fontId="1" fillId="0" borderId="23" xfId="0" applyNumberFormat="1" applyFont="1" applyBorder="1" applyAlignment="1">
      <alignment horizontal="center" vertical="center" wrapText="1"/>
    </xf>
    <xf numFmtId="165" fontId="1" fillId="0" borderId="23" xfId="0" applyNumberFormat="1" applyFont="1" applyBorder="1" applyAlignment="1">
      <alignment horizontal="center" vertical="center" wrapText="1"/>
    </xf>
    <xf numFmtId="165" fontId="1" fillId="0" borderId="24" xfId="0" applyNumberFormat="1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49" fontId="3" fillId="8" borderId="27" xfId="0" applyNumberFormat="1" applyFont="1" applyFill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164" fontId="1" fillId="9" borderId="4" xfId="0" applyNumberFormat="1" applyFont="1" applyFill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49" fontId="3" fillId="0" borderId="27" xfId="0" applyNumberFormat="1" applyFont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/>
    </xf>
    <xf numFmtId="49" fontId="3" fillId="8" borderId="3" xfId="0" applyNumberFormat="1" applyFont="1" applyFill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165" fontId="1" fillId="6" borderId="3" xfId="0" applyNumberFormat="1" applyFont="1" applyFill="1" applyBorder="1" applyAlignment="1">
      <alignment horizontal="center" vertical="center" wrapText="1"/>
    </xf>
    <xf numFmtId="0" fontId="1" fillId="0" borderId="3" xfId="0" quotePrefix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7" fontId="4" fillId="0" borderId="3" xfId="0" applyNumberFormat="1" applyFont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 wrapText="1"/>
    </xf>
    <xf numFmtId="0" fontId="1" fillId="3" borderId="3" xfId="0" quotePrefix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167" fontId="4" fillId="3" borderId="3" xfId="0" applyNumberFormat="1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2" fillId="3" borderId="7" xfId="0" applyNumberFormat="1" applyFont="1" applyFill="1" applyBorder="1" applyAlignment="1">
      <alignment horizontal="center" vertical="center" wrapText="1"/>
    </xf>
    <xf numFmtId="165" fontId="1" fillId="5" borderId="14" xfId="0" applyNumberFormat="1" applyFont="1" applyFill="1" applyBorder="1" applyAlignment="1">
      <alignment horizontal="center" vertical="center" wrapText="1"/>
    </xf>
    <xf numFmtId="165" fontId="1" fillId="5" borderId="7" xfId="0" applyNumberFormat="1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29" xfId="0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0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1" fontId="7" fillId="0" borderId="18" xfId="1" applyNumberFormat="1" applyFont="1" applyBorder="1" applyAlignment="1">
      <alignment horizontal="center" vertical="center" wrapText="1"/>
    </xf>
    <xf numFmtId="1" fontId="7" fillId="0" borderId="3" xfId="1" applyNumberFormat="1" applyFont="1" applyBorder="1" applyAlignment="1">
      <alignment horizontal="center" vertical="center" wrapText="1"/>
    </xf>
    <xf numFmtId="1" fontId="7" fillId="6" borderId="3" xfId="1" applyNumberFormat="1" applyFont="1" applyFill="1" applyBorder="1" applyAlignment="1">
      <alignment horizontal="center" vertical="center" wrapText="1"/>
    </xf>
    <xf numFmtId="1" fontId="7" fillId="0" borderId="23" xfId="1" applyNumberFormat="1" applyFont="1" applyBorder="1" applyAlignment="1">
      <alignment horizontal="center" vertical="center" wrapText="1"/>
    </xf>
  </cellXfs>
  <cellStyles count="5">
    <cellStyle name="Normal" xfId="0" builtinId="0"/>
    <cellStyle name="Normal 3" xfId="2" xr:uid="{B104CA96-C452-4849-A451-30537CADD642}"/>
    <cellStyle name="Normal 3 4" xfId="3" xr:uid="{4EB19EC9-BE4B-45F6-8240-9527C4233FA7}"/>
    <cellStyle name="Normal 4" xfId="1" xr:uid="{EE46F78D-1E91-4FA4-B63A-429BE3E85805}"/>
    <cellStyle name="Normal 4 3" xfId="4" xr:uid="{3FF2B8DD-38C8-4277-B7F1-B949C8D19D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263E5-033F-4D26-95BA-DBCB27CAC9CC}">
  <dimension ref="A1:S30"/>
  <sheetViews>
    <sheetView tabSelected="1" workbookViewId="0">
      <selection activeCell="O11" sqref="O11"/>
    </sheetView>
  </sheetViews>
  <sheetFormatPr defaultRowHeight="14.5"/>
  <cols>
    <col min="8" max="8" width="11" customWidth="1"/>
    <col min="10" max="10" width="10.6328125" bestFit="1" customWidth="1"/>
    <col min="11" max="11" width="15.6328125" customWidth="1"/>
    <col min="12" max="12" width="6.36328125" bestFit="1" customWidth="1"/>
    <col min="13" max="13" width="26.08984375" customWidth="1"/>
    <col min="14" max="14" width="17.08984375" bestFit="1" customWidth="1"/>
    <col min="15" max="15" width="7" bestFit="1" customWidth="1"/>
    <col min="16" max="16" width="16.1796875" bestFit="1" customWidth="1"/>
    <col min="18" max="18" width="10.54296875" customWidth="1"/>
    <col min="19" max="19" width="11.7265625" customWidth="1"/>
  </cols>
  <sheetData>
    <row r="1" spans="1:19" ht="15" customHeight="1">
      <c r="K1" s="173"/>
      <c r="L1" s="174" t="s">
        <v>244</v>
      </c>
      <c r="M1" s="174"/>
      <c r="N1" s="174" t="s">
        <v>245</v>
      </c>
      <c r="O1" s="174"/>
      <c r="P1" s="174" t="s">
        <v>246</v>
      </c>
      <c r="Q1" s="174"/>
      <c r="R1" s="175"/>
      <c r="S1" s="176"/>
    </row>
    <row r="2" spans="1:19">
      <c r="K2" s="177"/>
      <c r="L2" s="178" t="s">
        <v>247</v>
      </c>
      <c r="M2" s="178" t="s">
        <v>248</v>
      </c>
      <c r="N2" s="178" t="s">
        <v>247</v>
      </c>
      <c r="O2" s="178" t="s">
        <v>248</v>
      </c>
      <c r="P2" s="178" t="s">
        <v>247</v>
      </c>
      <c r="Q2" s="178" t="s">
        <v>248</v>
      </c>
      <c r="R2" s="178"/>
      <c r="S2" s="179"/>
    </row>
    <row r="3" spans="1:19">
      <c r="A3" s="60" t="s">
        <v>0</v>
      </c>
      <c r="B3" s="61"/>
      <c r="C3" s="61"/>
      <c r="D3" s="61"/>
      <c r="E3" s="61"/>
      <c r="F3" s="61"/>
      <c r="G3" s="61"/>
      <c r="H3" s="61"/>
      <c r="I3" s="61"/>
      <c r="J3" s="61"/>
      <c r="K3" s="177"/>
      <c r="L3" s="178">
        <v>1000</v>
      </c>
      <c r="M3" s="178">
        <v>1200</v>
      </c>
      <c r="N3" s="178">
        <v>1800</v>
      </c>
      <c r="O3" s="178">
        <v>1300</v>
      </c>
      <c r="P3" s="178">
        <v>2400</v>
      </c>
      <c r="Q3" s="178">
        <v>1300</v>
      </c>
      <c r="R3" s="178"/>
      <c r="S3" s="179"/>
    </row>
    <row r="4" spans="1:19" ht="26">
      <c r="A4" s="4"/>
      <c r="B4" s="5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170" t="s">
        <v>9</v>
      </c>
      <c r="K4" s="177"/>
      <c r="L4" s="180" t="s">
        <v>255</v>
      </c>
      <c r="M4" s="180"/>
      <c r="N4" s="180" t="s">
        <v>256</v>
      </c>
      <c r="O4" s="180"/>
      <c r="P4" s="180" t="s">
        <v>257</v>
      </c>
      <c r="Q4" s="180"/>
      <c r="R4" s="178" t="s">
        <v>254</v>
      </c>
      <c r="S4" s="179" t="s">
        <v>259</v>
      </c>
    </row>
    <row r="5" spans="1:19" ht="30.5" thickBot="1">
      <c r="A5" s="7">
        <v>1</v>
      </c>
      <c r="B5" s="70" t="s">
        <v>10</v>
      </c>
      <c r="C5" s="9" t="s">
        <v>11</v>
      </c>
      <c r="D5" s="10" t="s">
        <v>12</v>
      </c>
      <c r="E5" s="11">
        <v>20</v>
      </c>
      <c r="F5" s="11">
        <v>5</v>
      </c>
      <c r="G5" s="12">
        <v>1.3089999999999999</v>
      </c>
      <c r="H5" s="12">
        <v>3.97</v>
      </c>
      <c r="I5" s="13">
        <f t="shared" ref="I5:I13" si="0">G5*F5*E5*1.1</f>
        <v>143.99</v>
      </c>
      <c r="J5" s="171">
        <f t="shared" ref="J5:J13" si="1">I5*H5</f>
        <v>571.64030000000002</v>
      </c>
      <c r="K5" s="177" t="s">
        <v>249</v>
      </c>
      <c r="L5" s="180">
        <v>20</v>
      </c>
      <c r="M5" s="180"/>
      <c r="N5" s="180">
        <v>50</v>
      </c>
      <c r="O5" s="180"/>
      <c r="P5" s="180">
        <v>30</v>
      </c>
      <c r="Q5" s="180"/>
      <c r="R5" s="178">
        <v>100</v>
      </c>
      <c r="S5" s="179">
        <v>130.9</v>
      </c>
    </row>
    <row r="6" spans="1:19" ht="30">
      <c r="A6" s="14">
        <v>2</v>
      </c>
      <c r="B6" s="8"/>
      <c r="C6" s="15" t="s">
        <v>13</v>
      </c>
      <c r="D6" s="16" t="s">
        <v>14</v>
      </c>
      <c r="E6" s="17">
        <v>175</v>
      </c>
      <c r="F6" s="18">
        <v>5</v>
      </c>
      <c r="G6" s="19">
        <v>1.25</v>
      </c>
      <c r="H6" s="19">
        <v>4.18</v>
      </c>
      <c r="I6" s="20">
        <f t="shared" si="0"/>
        <v>1203.125</v>
      </c>
      <c r="J6" s="172">
        <f t="shared" si="1"/>
        <v>5029.0625</v>
      </c>
      <c r="K6" s="177" t="s">
        <v>250</v>
      </c>
      <c r="L6" s="180">
        <v>50</v>
      </c>
      <c r="M6" s="180"/>
      <c r="N6" s="180">
        <v>440.00000000000006</v>
      </c>
      <c r="O6" s="180"/>
      <c r="P6" s="180">
        <v>378</v>
      </c>
      <c r="Q6" s="180"/>
      <c r="R6" s="178">
        <v>868</v>
      </c>
      <c r="S6" s="179">
        <v>1085</v>
      </c>
    </row>
    <row r="7" spans="1:19" ht="30">
      <c r="A7" s="7">
        <v>3</v>
      </c>
      <c r="B7" s="8"/>
      <c r="C7" s="21" t="s">
        <v>15</v>
      </c>
      <c r="D7" s="22" t="s">
        <v>14</v>
      </c>
      <c r="E7" s="17">
        <v>120</v>
      </c>
      <c r="F7" s="18">
        <v>5</v>
      </c>
      <c r="G7" s="19">
        <v>1.53</v>
      </c>
      <c r="H7" s="19">
        <v>4.4000000000000004</v>
      </c>
      <c r="I7" s="20">
        <f t="shared" si="0"/>
        <v>1009.8000000000001</v>
      </c>
      <c r="J7" s="172">
        <f t="shared" si="1"/>
        <v>4443.1200000000008</v>
      </c>
      <c r="K7" s="177" t="s">
        <v>251</v>
      </c>
      <c r="L7" s="180">
        <v>50</v>
      </c>
      <c r="M7" s="180"/>
      <c r="N7" s="180">
        <v>310</v>
      </c>
      <c r="O7" s="180"/>
      <c r="P7" s="180">
        <v>222</v>
      </c>
      <c r="Q7" s="180"/>
      <c r="R7" s="178">
        <v>582</v>
      </c>
      <c r="S7" s="179">
        <v>890.46</v>
      </c>
    </row>
    <row r="8" spans="1:19" ht="30">
      <c r="A8" s="14">
        <v>4</v>
      </c>
      <c r="B8" s="8"/>
      <c r="C8" s="21" t="s">
        <v>16</v>
      </c>
      <c r="D8" s="22" t="s">
        <v>14</v>
      </c>
      <c r="E8" s="17">
        <v>90</v>
      </c>
      <c r="F8" s="18">
        <v>5</v>
      </c>
      <c r="G8" s="19">
        <v>0.67900000000000005</v>
      </c>
      <c r="H8" s="19">
        <v>4.4000000000000004</v>
      </c>
      <c r="I8" s="20">
        <f t="shared" si="0"/>
        <v>336.10500000000008</v>
      </c>
      <c r="J8" s="172">
        <f t="shared" si="1"/>
        <v>1478.8620000000005</v>
      </c>
      <c r="K8" s="177" t="s">
        <v>252</v>
      </c>
      <c r="L8" s="180">
        <v>122</v>
      </c>
      <c r="M8" s="180"/>
      <c r="N8" s="180">
        <v>180</v>
      </c>
      <c r="O8" s="180"/>
      <c r="P8" s="180">
        <v>143.28</v>
      </c>
      <c r="Q8" s="180"/>
      <c r="R8" s="178">
        <v>445.28</v>
      </c>
      <c r="S8" s="179">
        <v>302.34512000000001</v>
      </c>
    </row>
    <row r="9" spans="1:19" ht="30.5" thickBot="1">
      <c r="A9" s="7">
        <v>5</v>
      </c>
      <c r="B9" s="8"/>
      <c r="C9" s="15" t="s">
        <v>17</v>
      </c>
      <c r="D9" s="23" t="s">
        <v>14</v>
      </c>
      <c r="E9" s="17">
        <v>30</v>
      </c>
      <c r="F9" s="18">
        <v>5</v>
      </c>
      <c r="G9" s="19">
        <v>0.64600000000000002</v>
      </c>
      <c r="H9" s="19">
        <v>4.4000000000000004</v>
      </c>
      <c r="I9" s="20">
        <f t="shared" si="0"/>
        <v>106.59000000000002</v>
      </c>
      <c r="J9" s="172">
        <f t="shared" si="1"/>
        <v>468.99600000000009</v>
      </c>
      <c r="K9" s="181" t="s">
        <v>253</v>
      </c>
      <c r="L9" s="182"/>
      <c r="M9" s="182"/>
      <c r="N9" s="182">
        <v>65</v>
      </c>
      <c r="O9" s="182"/>
      <c r="P9" s="182">
        <v>78</v>
      </c>
      <c r="Q9" s="182"/>
      <c r="R9" s="183">
        <v>143</v>
      </c>
      <c r="S9" s="184">
        <v>92.378</v>
      </c>
    </row>
    <row r="10" spans="1:19" ht="30">
      <c r="A10" s="14">
        <v>6</v>
      </c>
      <c r="B10" s="8"/>
      <c r="C10" s="15" t="s">
        <v>13</v>
      </c>
      <c r="D10" s="24" t="s">
        <v>18</v>
      </c>
      <c r="E10" s="25">
        <v>0</v>
      </c>
      <c r="F10" s="26">
        <v>5</v>
      </c>
      <c r="G10" s="27">
        <v>0.105</v>
      </c>
      <c r="H10" s="27">
        <v>4.18</v>
      </c>
      <c r="I10" s="28">
        <f t="shared" si="0"/>
        <v>0</v>
      </c>
      <c r="J10" s="28">
        <f t="shared" si="1"/>
        <v>0</v>
      </c>
      <c r="M10" t="s">
        <v>263</v>
      </c>
    </row>
    <row r="11" spans="1:19" ht="196">
      <c r="A11" s="7">
        <v>7</v>
      </c>
      <c r="B11" s="8"/>
      <c r="C11" s="21" t="s">
        <v>15</v>
      </c>
      <c r="D11" s="29" t="s">
        <v>18</v>
      </c>
      <c r="E11" s="25">
        <v>0</v>
      </c>
      <c r="F11" s="26">
        <v>5</v>
      </c>
      <c r="G11" s="27">
        <v>0.221</v>
      </c>
      <c r="H11" s="27">
        <v>4.4000000000000004</v>
      </c>
      <c r="I11" s="28">
        <f t="shared" si="0"/>
        <v>0</v>
      </c>
      <c r="J11" s="28">
        <f t="shared" si="1"/>
        <v>0</v>
      </c>
      <c r="M11" s="117" t="s">
        <v>258</v>
      </c>
    </row>
    <row r="12" spans="1:19" ht="30.5" thickBot="1">
      <c r="A12" s="14">
        <v>8</v>
      </c>
      <c r="B12" s="8"/>
      <c r="C12" s="21" t="s">
        <v>16</v>
      </c>
      <c r="D12" s="29" t="s">
        <v>18</v>
      </c>
      <c r="E12" s="25">
        <v>0</v>
      </c>
      <c r="F12" s="26">
        <v>5</v>
      </c>
      <c r="G12" s="27">
        <v>0.26</v>
      </c>
      <c r="H12" s="27">
        <v>4.4000000000000004</v>
      </c>
      <c r="I12" s="28">
        <f t="shared" si="0"/>
        <v>0</v>
      </c>
      <c r="J12" s="28">
        <f t="shared" si="1"/>
        <v>0</v>
      </c>
    </row>
    <row r="13" spans="1:19" ht="30.5" thickBot="1">
      <c r="A13" s="7">
        <v>9</v>
      </c>
      <c r="B13" s="8"/>
      <c r="C13" s="15" t="s">
        <v>17</v>
      </c>
      <c r="D13" s="30" t="s">
        <v>18</v>
      </c>
      <c r="E13" s="25">
        <v>0</v>
      </c>
      <c r="F13" s="26">
        <v>5</v>
      </c>
      <c r="G13" s="27">
        <v>0.55500000000000005</v>
      </c>
      <c r="H13" s="27">
        <v>4.4000000000000004</v>
      </c>
      <c r="I13" s="28">
        <f t="shared" si="0"/>
        <v>0</v>
      </c>
      <c r="J13" s="28">
        <f t="shared" si="1"/>
        <v>0</v>
      </c>
      <c r="M13" s="77" t="s">
        <v>168</v>
      </c>
    </row>
    <row r="14" spans="1:19" ht="30">
      <c r="A14" s="60" t="s">
        <v>19</v>
      </c>
      <c r="B14" s="61"/>
      <c r="C14" s="61"/>
      <c r="D14" s="61"/>
      <c r="E14" s="61"/>
      <c r="F14" s="61"/>
      <c r="G14" s="61"/>
      <c r="H14" s="69"/>
      <c r="I14" s="28" t="e">
        <f>SUM(#REF!)</f>
        <v>#REF!</v>
      </c>
      <c r="J14" s="28">
        <f>SUM(J5:J13)</f>
        <v>11991.680800000002</v>
      </c>
      <c r="M14" s="95" t="s">
        <v>169</v>
      </c>
    </row>
    <row r="15" spans="1:19">
      <c r="A15" s="31" t="s">
        <v>20</v>
      </c>
      <c r="B15" s="32"/>
      <c r="C15" s="32"/>
      <c r="D15" s="32"/>
      <c r="E15" s="32"/>
      <c r="F15" s="32"/>
      <c r="G15" s="32"/>
      <c r="H15" s="32"/>
      <c r="I15" s="32"/>
      <c r="J15" s="33"/>
      <c r="M15" t="s">
        <v>170</v>
      </c>
    </row>
    <row r="16" spans="1:19" ht="45">
      <c r="A16" s="34"/>
      <c r="B16" s="66" t="s">
        <v>21</v>
      </c>
      <c r="C16" s="34" t="s">
        <v>22</v>
      </c>
      <c r="D16" s="34" t="s">
        <v>23</v>
      </c>
      <c r="E16" s="34" t="s">
        <v>24</v>
      </c>
      <c r="F16" s="35" t="s">
        <v>25</v>
      </c>
      <c r="G16" s="34" t="s">
        <v>26</v>
      </c>
      <c r="H16" s="36" t="s">
        <v>27</v>
      </c>
      <c r="I16" s="36" t="s">
        <v>28</v>
      </c>
      <c r="J16" s="37" t="s">
        <v>260</v>
      </c>
      <c r="M16" s="169" t="s">
        <v>243</v>
      </c>
    </row>
    <row r="17" spans="1:13" ht="60">
      <c r="A17" s="4">
        <v>1</v>
      </c>
      <c r="B17" s="67"/>
      <c r="C17" s="38" t="s">
        <v>29</v>
      </c>
      <c r="D17" s="39" t="s">
        <v>30</v>
      </c>
      <c r="E17" s="40" t="s">
        <v>31</v>
      </c>
      <c r="F17" s="41">
        <v>2.8985507246376802E-2</v>
      </c>
      <c r="G17" s="42"/>
      <c r="H17" s="43"/>
      <c r="I17" s="44">
        <v>50</v>
      </c>
      <c r="J17" s="37">
        <f>F17*H17</f>
        <v>0</v>
      </c>
      <c r="M17" t="s">
        <v>241</v>
      </c>
    </row>
    <row r="18" spans="1:13" ht="60">
      <c r="A18" s="4">
        <v>2</v>
      </c>
      <c r="B18" s="67"/>
      <c r="C18" s="38" t="s">
        <v>32</v>
      </c>
      <c r="D18" s="45" t="s">
        <v>33</v>
      </c>
      <c r="E18" s="40" t="s">
        <v>31</v>
      </c>
      <c r="F18" s="41">
        <v>2.8985507246376802E-2</v>
      </c>
      <c r="G18" s="42"/>
      <c r="H18" s="46">
        <v>630</v>
      </c>
      <c r="I18" s="44">
        <v>50</v>
      </c>
      <c r="J18" s="37">
        <f t="shared" ref="J18:J29" si="2">F18*H18</f>
        <v>18.260869565217384</v>
      </c>
    </row>
    <row r="19" spans="1:13" ht="45">
      <c r="A19" s="4">
        <v>3</v>
      </c>
      <c r="B19" s="67"/>
      <c r="C19" s="38" t="s">
        <v>34</v>
      </c>
      <c r="D19" s="45" t="s">
        <v>35</v>
      </c>
      <c r="E19" s="38" t="s">
        <v>36</v>
      </c>
      <c r="F19" s="41">
        <v>4.4057971014492797E-2</v>
      </c>
      <c r="G19" s="47"/>
      <c r="H19" s="46">
        <v>1840</v>
      </c>
      <c r="I19" s="44">
        <v>20</v>
      </c>
      <c r="J19" s="37">
        <f t="shared" si="2"/>
        <v>81.066666666666748</v>
      </c>
    </row>
    <row r="20" spans="1:13" ht="45">
      <c r="A20" s="4">
        <v>4</v>
      </c>
      <c r="B20" s="67"/>
      <c r="C20" s="38" t="s">
        <v>37</v>
      </c>
      <c r="D20" s="45" t="s">
        <v>38</v>
      </c>
      <c r="E20" s="38" t="s">
        <v>36</v>
      </c>
      <c r="F20" s="41">
        <v>0.46724637681159398</v>
      </c>
      <c r="G20" s="42"/>
      <c r="H20" s="46">
        <v>920</v>
      </c>
      <c r="I20" s="44">
        <v>20</v>
      </c>
      <c r="J20" s="37">
        <f t="shared" si="2"/>
        <v>429.86666666666645</v>
      </c>
    </row>
    <row r="21" spans="1:13" ht="45">
      <c r="A21" s="4">
        <v>5</v>
      </c>
      <c r="B21" s="67"/>
      <c r="C21" s="38" t="s">
        <v>39</v>
      </c>
      <c r="D21" s="45" t="s">
        <v>40</v>
      </c>
      <c r="E21" s="38" t="s">
        <v>36</v>
      </c>
      <c r="F21" s="41">
        <v>0.20637681159420301</v>
      </c>
      <c r="G21" s="42"/>
      <c r="H21" s="46">
        <v>920</v>
      </c>
      <c r="I21" s="44">
        <v>20</v>
      </c>
      <c r="J21" s="37">
        <f t="shared" si="2"/>
        <v>189.86666666666676</v>
      </c>
    </row>
    <row r="22" spans="1:13" ht="120">
      <c r="A22" s="4">
        <v>6</v>
      </c>
      <c r="B22" s="67"/>
      <c r="C22" s="38" t="s">
        <v>41</v>
      </c>
      <c r="D22" s="45" t="s">
        <v>42</v>
      </c>
      <c r="E22" s="38" t="s">
        <v>36</v>
      </c>
      <c r="F22" s="41">
        <v>0.73855072463768101</v>
      </c>
      <c r="G22" s="42"/>
      <c r="H22" s="46">
        <v>220</v>
      </c>
      <c r="I22" s="44">
        <v>20</v>
      </c>
      <c r="J22" s="37">
        <f t="shared" si="2"/>
        <v>162.48115942028983</v>
      </c>
    </row>
    <row r="23" spans="1:13" ht="135">
      <c r="A23" s="4">
        <v>7</v>
      </c>
      <c r="B23" s="67"/>
      <c r="C23" s="38" t="s">
        <v>43</v>
      </c>
      <c r="D23" s="45" t="s">
        <v>44</v>
      </c>
      <c r="E23" s="38" t="s">
        <v>36</v>
      </c>
      <c r="F23" s="41">
        <v>0.28985507246376802</v>
      </c>
      <c r="G23" s="42"/>
      <c r="H23" s="48">
        <v>220</v>
      </c>
      <c r="I23" s="44">
        <v>20</v>
      </c>
      <c r="J23" s="37">
        <f t="shared" si="2"/>
        <v>63.768115942028963</v>
      </c>
    </row>
    <row r="24" spans="1:13" ht="45">
      <c r="A24" s="4">
        <v>8</v>
      </c>
      <c r="B24" s="67"/>
      <c r="C24" s="38" t="s">
        <v>45</v>
      </c>
      <c r="D24" s="45" t="s">
        <v>46</v>
      </c>
      <c r="E24" s="49" t="s">
        <v>47</v>
      </c>
      <c r="F24" s="41">
        <v>2.2028985507246399E-2</v>
      </c>
      <c r="G24" s="42"/>
      <c r="H24" s="46">
        <v>1840</v>
      </c>
      <c r="I24" s="44">
        <v>20</v>
      </c>
      <c r="J24" s="37">
        <f t="shared" si="2"/>
        <v>40.533333333333374</v>
      </c>
    </row>
    <row r="25" spans="1:13" ht="30">
      <c r="A25" s="4">
        <v>9</v>
      </c>
      <c r="B25" s="67"/>
      <c r="C25" s="38" t="s">
        <v>48</v>
      </c>
      <c r="D25" s="45" t="s">
        <v>49</v>
      </c>
      <c r="E25" s="49" t="s">
        <v>31</v>
      </c>
      <c r="F25" s="41">
        <v>0.18666666666666701</v>
      </c>
      <c r="G25" s="42"/>
      <c r="H25" s="48">
        <v>1070</v>
      </c>
      <c r="I25" s="44">
        <f>G25*M25</f>
        <v>0</v>
      </c>
      <c r="J25" s="37">
        <f t="shared" si="2"/>
        <v>199.73333333333369</v>
      </c>
    </row>
    <row r="26" spans="1:13" ht="75">
      <c r="A26" s="4">
        <v>10</v>
      </c>
      <c r="B26" s="67"/>
      <c r="C26" s="38" t="s">
        <v>50</v>
      </c>
      <c r="D26" s="45" t="s">
        <v>51</v>
      </c>
      <c r="E26" s="49" t="s">
        <v>31</v>
      </c>
      <c r="F26" s="41">
        <v>0.197101449275362</v>
      </c>
      <c r="G26" s="42"/>
      <c r="H26" s="48">
        <v>1070</v>
      </c>
      <c r="I26" s="44">
        <f>G26*M26</f>
        <v>0</v>
      </c>
      <c r="J26" s="37">
        <f t="shared" si="2"/>
        <v>210.89855072463735</v>
      </c>
    </row>
    <row r="27" spans="1:13" ht="75">
      <c r="A27" s="4">
        <v>11</v>
      </c>
      <c r="B27" s="67"/>
      <c r="C27" s="38" t="s">
        <v>50</v>
      </c>
      <c r="D27" s="45" t="s">
        <v>52</v>
      </c>
      <c r="E27" s="49" t="s">
        <v>31</v>
      </c>
      <c r="F27" s="41">
        <v>0.30376811594202902</v>
      </c>
      <c r="G27" s="42"/>
      <c r="H27" s="48">
        <v>830</v>
      </c>
      <c r="I27" s="44">
        <f>G27*M27</f>
        <v>0</v>
      </c>
      <c r="J27" s="37">
        <f t="shared" si="2"/>
        <v>252.12753623188408</v>
      </c>
    </row>
    <row r="28" spans="1:13" ht="56">
      <c r="A28" s="4">
        <v>12</v>
      </c>
      <c r="B28" s="67"/>
      <c r="C28" s="50" t="s">
        <v>53</v>
      </c>
      <c r="D28" s="51" t="s">
        <v>54</v>
      </c>
      <c r="E28" s="52" t="s">
        <v>55</v>
      </c>
      <c r="F28" s="53">
        <v>2.8173913043478298</v>
      </c>
      <c r="G28" s="54"/>
      <c r="H28" s="55">
        <v>130</v>
      </c>
      <c r="I28" s="56"/>
      <c r="J28" s="37">
        <f t="shared" si="2"/>
        <v>366.26086956521789</v>
      </c>
    </row>
    <row r="29" spans="1:13" ht="17.5">
      <c r="A29" s="4">
        <v>13</v>
      </c>
      <c r="B29" s="68"/>
      <c r="C29" s="50" t="s">
        <v>56</v>
      </c>
      <c r="D29" s="57" t="s">
        <v>57</v>
      </c>
      <c r="E29" s="52" t="s">
        <v>55</v>
      </c>
      <c r="F29" s="53">
        <v>0.91594202898550703</v>
      </c>
      <c r="G29" s="54"/>
      <c r="H29" s="58">
        <v>130</v>
      </c>
      <c r="I29" s="59"/>
      <c r="J29" s="37">
        <f t="shared" si="2"/>
        <v>119.07246376811591</v>
      </c>
    </row>
    <row r="30" spans="1:13">
      <c r="A30" s="63" t="s">
        <v>58</v>
      </c>
      <c r="B30" s="64"/>
      <c r="C30" s="64"/>
      <c r="D30" s="64"/>
      <c r="E30" s="64"/>
      <c r="F30" s="64"/>
      <c r="G30" s="64"/>
      <c r="H30" s="64"/>
      <c r="I30" s="65"/>
      <c r="J30" s="62">
        <f>SUM(J17:J29)</f>
        <v>2133.9362318840585</v>
      </c>
    </row>
  </sheetData>
  <mergeCells count="27">
    <mergeCell ref="L9:M9"/>
    <mergeCell ref="N9:O9"/>
    <mergeCell ref="P9:Q9"/>
    <mergeCell ref="L7:M7"/>
    <mergeCell ref="N7:O7"/>
    <mergeCell ref="P7:Q7"/>
    <mergeCell ref="L8:M8"/>
    <mergeCell ref="N8:O8"/>
    <mergeCell ref="P8:Q8"/>
    <mergeCell ref="L5:M5"/>
    <mergeCell ref="N5:O5"/>
    <mergeCell ref="P5:Q5"/>
    <mergeCell ref="L6:M6"/>
    <mergeCell ref="N6:O6"/>
    <mergeCell ref="P6:Q6"/>
    <mergeCell ref="L1:M1"/>
    <mergeCell ref="N1:O1"/>
    <mergeCell ref="P1:Q1"/>
    <mergeCell ref="L4:M4"/>
    <mergeCell ref="N4:O4"/>
    <mergeCell ref="P4:Q4"/>
    <mergeCell ref="A3:J3"/>
    <mergeCell ref="B5:B13"/>
    <mergeCell ref="A14:H14"/>
    <mergeCell ref="A15:J15"/>
    <mergeCell ref="B16:B29"/>
    <mergeCell ref="A30:I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F3159-CE6B-4D03-85A2-0BA52DE2D443}">
  <dimension ref="A1:L54"/>
  <sheetViews>
    <sheetView zoomScaleNormal="100" workbookViewId="0">
      <selection sqref="A1:J1"/>
    </sheetView>
  </sheetViews>
  <sheetFormatPr defaultRowHeight="14.5"/>
  <cols>
    <col min="3" max="3" width="12.54296875" customWidth="1"/>
    <col min="4" max="4" width="10.90625" customWidth="1"/>
    <col min="5" max="5" width="8.54296875" bestFit="1" customWidth="1"/>
    <col min="6" max="6" width="14.1796875" bestFit="1" customWidth="1"/>
    <col min="7" max="7" width="8" bestFit="1" customWidth="1"/>
    <col min="8" max="8" width="12.54296875" bestFit="1" customWidth="1"/>
    <col min="9" max="9" width="10.90625" bestFit="1" customWidth="1"/>
    <col min="10" max="10" width="16.453125" customWidth="1"/>
    <col min="12" max="12" width="29.6328125" customWidth="1"/>
  </cols>
  <sheetData>
    <row r="1" spans="1:12">
      <c r="A1" s="118" t="s">
        <v>262</v>
      </c>
      <c r="B1" s="118"/>
      <c r="C1" s="118"/>
      <c r="D1" s="118"/>
      <c r="E1" s="118"/>
      <c r="F1" s="118"/>
      <c r="G1" s="118"/>
      <c r="H1" s="118"/>
      <c r="I1" s="118"/>
      <c r="J1" s="118"/>
      <c r="L1" t="s">
        <v>239</v>
      </c>
    </row>
    <row r="2" spans="1:12" ht="42">
      <c r="A2" s="4" t="s">
        <v>172</v>
      </c>
      <c r="B2" s="4" t="s">
        <v>1</v>
      </c>
      <c r="C2" s="119" t="s">
        <v>2</v>
      </c>
      <c r="D2" s="119" t="s">
        <v>3</v>
      </c>
      <c r="E2" s="120" t="s">
        <v>4</v>
      </c>
      <c r="F2" s="119" t="s">
        <v>5</v>
      </c>
      <c r="G2" s="121" t="s">
        <v>6</v>
      </c>
      <c r="H2" s="121" t="s">
        <v>7</v>
      </c>
      <c r="I2" s="28" t="s">
        <v>8</v>
      </c>
      <c r="J2" s="28" t="s">
        <v>9</v>
      </c>
      <c r="L2" s="117" t="s">
        <v>171</v>
      </c>
    </row>
    <row r="3" spans="1:12" ht="27" customHeight="1" thickBot="1">
      <c r="A3" s="4">
        <v>1</v>
      </c>
      <c r="B3" s="122" t="s">
        <v>173</v>
      </c>
      <c r="C3" s="123" t="s">
        <v>174</v>
      </c>
      <c r="D3" s="124" t="s">
        <v>12</v>
      </c>
      <c r="E3" s="125">
        <v>6</v>
      </c>
      <c r="F3" s="125">
        <v>5</v>
      </c>
      <c r="G3" s="126">
        <v>0.105</v>
      </c>
      <c r="H3" s="126">
        <v>3.97</v>
      </c>
      <c r="I3" s="127">
        <f>G3*F3*E3*1.1</f>
        <v>3.4650000000000007</v>
      </c>
      <c r="J3" s="127">
        <f>I3*H3</f>
        <v>13.756050000000004</v>
      </c>
    </row>
    <row r="4" spans="1:12" ht="30">
      <c r="A4" s="4">
        <v>2</v>
      </c>
      <c r="B4" s="128"/>
      <c r="C4" s="129" t="s">
        <v>175</v>
      </c>
      <c r="D4" s="130" t="s">
        <v>14</v>
      </c>
      <c r="E4" s="131">
        <v>15</v>
      </c>
      <c r="F4" s="131">
        <v>5</v>
      </c>
      <c r="G4" s="132">
        <v>0.27800000000000002</v>
      </c>
      <c r="H4" s="133">
        <v>4.18</v>
      </c>
      <c r="I4" s="134">
        <f t="shared" ref="I4:I15" si="0">G4*F4*E4*1.1</f>
        <v>22.935000000000002</v>
      </c>
      <c r="J4" s="135">
        <f t="shared" ref="J4:J15" si="1">I4*H4</f>
        <v>95.868300000000005</v>
      </c>
      <c r="L4" s="77" t="s">
        <v>168</v>
      </c>
    </row>
    <row r="5" spans="1:12" ht="30">
      <c r="A5" s="4">
        <v>3</v>
      </c>
      <c r="B5" s="128"/>
      <c r="C5" s="136" t="s">
        <v>176</v>
      </c>
      <c r="D5" s="137" t="s">
        <v>14</v>
      </c>
      <c r="E5" s="26">
        <v>12</v>
      </c>
      <c r="F5" s="26">
        <v>5</v>
      </c>
      <c r="G5" s="27">
        <v>1.946</v>
      </c>
      <c r="H5" s="27">
        <v>4.4000000000000004</v>
      </c>
      <c r="I5" s="28">
        <f t="shared" si="0"/>
        <v>128.43600000000001</v>
      </c>
      <c r="J5" s="138">
        <f t="shared" si="1"/>
        <v>565.11840000000007</v>
      </c>
      <c r="L5" s="95" t="s">
        <v>169</v>
      </c>
    </row>
    <row r="6" spans="1:12" ht="29">
      <c r="A6" s="4">
        <v>4</v>
      </c>
      <c r="B6" s="128"/>
      <c r="C6" s="139" t="s">
        <v>177</v>
      </c>
      <c r="D6" s="137" t="s">
        <v>14</v>
      </c>
      <c r="E6" s="26">
        <v>11</v>
      </c>
      <c r="F6" s="26">
        <v>5</v>
      </c>
      <c r="G6" s="140">
        <v>1.849</v>
      </c>
      <c r="H6" s="27">
        <v>4.4000000000000004</v>
      </c>
      <c r="I6" s="28">
        <f t="shared" si="0"/>
        <v>111.86450000000001</v>
      </c>
      <c r="J6" s="138">
        <f t="shared" si="1"/>
        <v>492.20380000000006</v>
      </c>
      <c r="L6" s="169" t="s">
        <v>170</v>
      </c>
    </row>
    <row r="7" spans="1:12" ht="43.5">
      <c r="A7" s="4">
        <v>5</v>
      </c>
      <c r="B7" s="128"/>
      <c r="C7" s="136" t="s">
        <v>178</v>
      </c>
      <c r="D7" s="137" t="s">
        <v>14</v>
      </c>
      <c r="E7" s="26">
        <v>2</v>
      </c>
      <c r="F7" s="26">
        <v>5</v>
      </c>
      <c r="G7" s="27">
        <v>0.76500000000000001</v>
      </c>
      <c r="H7" s="27">
        <v>4.18</v>
      </c>
      <c r="I7" s="28">
        <f t="shared" si="0"/>
        <v>8.4150000000000009</v>
      </c>
      <c r="J7" s="138">
        <f t="shared" si="1"/>
        <v>35.174700000000001</v>
      </c>
      <c r="L7" s="169" t="s">
        <v>240</v>
      </c>
    </row>
    <row r="8" spans="1:12" ht="15">
      <c r="A8" s="4">
        <v>6</v>
      </c>
      <c r="B8" s="128"/>
      <c r="C8" s="136" t="s">
        <v>179</v>
      </c>
      <c r="D8" s="137" t="s">
        <v>14</v>
      </c>
      <c r="E8" s="26">
        <v>2</v>
      </c>
      <c r="F8" s="26">
        <v>5</v>
      </c>
      <c r="G8" s="27">
        <v>1.331</v>
      </c>
      <c r="H8" s="27">
        <v>4.4000000000000004</v>
      </c>
      <c r="I8" s="28">
        <f t="shared" si="0"/>
        <v>14.641</v>
      </c>
      <c r="J8" s="138">
        <f t="shared" si="1"/>
        <v>64.420400000000001</v>
      </c>
      <c r="L8" t="s">
        <v>241</v>
      </c>
    </row>
    <row r="9" spans="1:12" ht="15.5" thickBot="1">
      <c r="A9" s="4">
        <v>7</v>
      </c>
      <c r="B9" s="128"/>
      <c r="C9" s="141" t="s">
        <v>180</v>
      </c>
      <c r="D9" s="142" t="s">
        <v>14</v>
      </c>
      <c r="E9" s="143">
        <v>2</v>
      </c>
      <c r="F9" s="143">
        <v>5</v>
      </c>
      <c r="G9" s="144">
        <v>0.28599999999999998</v>
      </c>
      <c r="H9" s="144">
        <v>4.4000000000000004</v>
      </c>
      <c r="I9" s="145">
        <f t="shared" si="0"/>
        <v>3.1459999999999999</v>
      </c>
      <c r="J9" s="146">
        <f t="shared" si="1"/>
        <v>13.842400000000001</v>
      </c>
    </row>
    <row r="10" spans="1:12" ht="30">
      <c r="A10" s="4">
        <v>8</v>
      </c>
      <c r="B10" s="147"/>
      <c r="C10" s="148" t="s">
        <v>175</v>
      </c>
      <c r="D10" s="149" t="s">
        <v>18</v>
      </c>
      <c r="E10" s="11">
        <v>0</v>
      </c>
      <c r="F10" s="150">
        <v>5</v>
      </c>
      <c r="G10" s="151">
        <v>0.27800000000000002</v>
      </c>
      <c r="H10" s="152">
        <v>4.18</v>
      </c>
      <c r="I10" s="153">
        <f t="shared" si="0"/>
        <v>0</v>
      </c>
      <c r="J10" s="153">
        <f t="shared" si="1"/>
        <v>0</v>
      </c>
    </row>
    <row r="11" spans="1:12" ht="30">
      <c r="A11" s="14">
        <v>9</v>
      </c>
      <c r="B11" s="147"/>
      <c r="C11" s="154" t="s">
        <v>176</v>
      </c>
      <c r="D11" s="124" t="s">
        <v>18</v>
      </c>
      <c r="E11" s="155">
        <v>0</v>
      </c>
      <c r="F11" s="125">
        <v>5</v>
      </c>
      <c r="G11" s="27">
        <v>1.946</v>
      </c>
      <c r="H11" s="27">
        <v>4.4000000000000004</v>
      </c>
      <c r="I11" s="28">
        <f t="shared" si="0"/>
        <v>0</v>
      </c>
      <c r="J11" s="28">
        <f t="shared" si="1"/>
        <v>0</v>
      </c>
    </row>
    <row r="12" spans="1:12" ht="30">
      <c r="A12" s="4">
        <v>10</v>
      </c>
      <c r="B12" s="147"/>
      <c r="C12" s="156" t="s">
        <v>177</v>
      </c>
      <c r="D12" s="119" t="s">
        <v>18</v>
      </c>
      <c r="E12" s="18">
        <v>0</v>
      </c>
      <c r="F12" s="26">
        <v>5</v>
      </c>
      <c r="G12" s="140">
        <v>1.849</v>
      </c>
      <c r="H12" s="27">
        <v>4.4000000000000004</v>
      </c>
      <c r="I12" s="28">
        <f t="shared" si="0"/>
        <v>0</v>
      </c>
      <c r="J12" s="28">
        <f t="shared" si="1"/>
        <v>0</v>
      </c>
    </row>
    <row r="13" spans="1:12" ht="30">
      <c r="A13" s="14">
        <v>11</v>
      </c>
      <c r="B13" s="147"/>
      <c r="C13" s="154" t="s">
        <v>178</v>
      </c>
      <c r="D13" s="157" t="s">
        <v>18</v>
      </c>
      <c r="E13" s="18">
        <v>0</v>
      </c>
      <c r="F13" s="26">
        <v>5</v>
      </c>
      <c r="G13" s="27">
        <v>0.76500000000000001</v>
      </c>
      <c r="H13" s="27">
        <v>4.18</v>
      </c>
      <c r="I13" s="28">
        <f t="shared" si="0"/>
        <v>0</v>
      </c>
      <c r="J13" s="28">
        <f t="shared" si="1"/>
        <v>0</v>
      </c>
    </row>
    <row r="14" spans="1:12" ht="30">
      <c r="A14" s="4">
        <v>12</v>
      </c>
      <c r="B14" s="147"/>
      <c r="C14" s="154" t="s">
        <v>179</v>
      </c>
      <c r="D14" s="119" t="s">
        <v>18</v>
      </c>
      <c r="E14" s="18">
        <v>0</v>
      </c>
      <c r="F14" s="26">
        <v>5</v>
      </c>
      <c r="G14" s="27">
        <v>1.331</v>
      </c>
      <c r="H14" s="27">
        <v>4.4000000000000004</v>
      </c>
      <c r="I14" s="28">
        <f t="shared" si="0"/>
        <v>0</v>
      </c>
      <c r="J14" s="28">
        <f t="shared" si="1"/>
        <v>0</v>
      </c>
    </row>
    <row r="15" spans="1:12" ht="30">
      <c r="A15" s="14">
        <v>13</v>
      </c>
      <c r="B15" s="147"/>
      <c r="C15" s="158" t="s">
        <v>180</v>
      </c>
      <c r="D15" s="124" t="s">
        <v>18</v>
      </c>
      <c r="E15" s="155">
        <v>0</v>
      </c>
      <c r="F15" s="125">
        <v>5</v>
      </c>
      <c r="G15" s="126">
        <v>0.28599999999999998</v>
      </c>
      <c r="H15" s="27">
        <v>4.4000000000000004</v>
      </c>
      <c r="I15" s="127">
        <f t="shared" si="0"/>
        <v>0</v>
      </c>
      <c r="J15" s="127">
        <f t="shared" si="1"/>
        <v>0</v>
      </c>
    </row>
    <row r="16" spans="1:12" ht="15">
      <c r="A16" s="4"/>
      <c r="B16" s="5"/>
      <c r="C16" s="158"/>
      <c r="D16" s="119"/>
      <c r="E16" s="18"/>
      <c r="F16" s="26"/>
      <c r="G16" s="27"/>
      <c r="H16" s="27"/>
      <c r="I16" s="28">
        <f>SUM(I3:I15)</f>
        <v>292.90250000000009</v>
      </c>
      <c r="J16" s="28">
        <f>SUM(J3:J15)</f>
        <v>1280.3840500000001</v>
      </c>
    </row>
    <row r="17" spans="1:10">
      <c r="A17" s="1" t="s">
        <v>181</v>
      </c>
      <c r="B17" s="2"/>
      <c r="C17" s="2"/>
      <c r="D17" s="2"/>
      <c r="E17" s="2"/>
      <c r="F17" s="2"/>
      <c r="G17" s="2"/>
      <c r="H17" s="2"/>
      <c r="I17" s="2"/>
      <c r="J17" s="3"/>
    </row>
    <row r="18" spans="1:10" ht="25">
      <c r="A18" s="4"/>
      <c r="B18" s="5"/>
      <c r="C18" s="158" t="s">
        <v>22</v>
      </c>
      <c r="D18" s="119" t="s">
        <v>23</v>
      </c>
      <c r="E18" s="26" t="s">
        <v>24</v>
      </c>
      <c r="F18" s="26" t="s">
        <v>25</v>
      </c>
      <c r="G18" s="27" t="s">
        <v>26</v>
      </c>
      <c r="H18" s="27" t="s">
        <v>27</v>
      </c>
      <c r="I18" s="159" t="s">
        <v>28</v>
      </c>
      <c r="J18" s="28" t="s">
        <v>260</v>
      </c>
    </row>
    <row r="19" spans="1:10" ht="120">
      <c r="A19" s="4"/>
      <c r="B19" s="5"/>
      <c r="C19" s="158" t="s">
        <v>83</v>
      </c>
      <c r="D19" s="160" t="s">
        <v>182</v>
      </c>
      <c r="E19" s="161" t="s">
        <v>77</v>
      </c>
      <c r="F19" s="162">
        <v>2.8985507246376802E-2</v>
      </c>
      <c r="G19" s="27">
        <v>8</v>
      </c>
      <c r="H19" s="27">
        <v>200</v>
      </c>
      <c r="I19" s="159">
        <v>80</v>
      </c>
      <c r="J19" s="28">
        <f>I19*F19</f>
        <v>2.3188405797101441</v>
      </c>
    </row>
    <row r="20" spans="1:10" ht="45">
      <c r="A20" s="4"/>
      <c r="B20" s="5"/>
      <c r="C20" s="158" t="s">
        <v>85</v>
      </c>
      <c r="D20" s="160" t="s">
        <v>183</v>
      </c>
      <c r="E20" s="161" t="s">
        <v>77</v>
      </c>
      <c r="F20" s="162">
        <v>7.1884057971014506E-2</v>
      </c>
      <c r="G20" s="27">
        <v>6</v>
      </c>
      <c r="H20" s="27">
        <v>80</v>
      </c>
      <c r="I20" s="159">
        <v>60</v>
      </c>
      <c r="J20" s="28">
        <f t="shared" ref="J20:J53" si="2">I20*F20</f>
        <v>4.3130434782608704</v>
      </c>
    </row>
    <row r="21" spans="1:10" ht="45">
      <c r="A21" s="4"/>
      <c r="B21" s="5"/>
      <c r="C21" s="158" t="s">
        <v>107</v>
      </c>
      <c r="D21" s="160" t="s">
        <v>184</v>
      </c>
      <c r="E21" s="161" t="s">
        <v>77</v>
      </c>
      <c r="F21" s="162">
        <v>0.104347826086957</v>
      </c>
      <c r="G21" s="27">
        <v>8</v>
      </c>
      <c r="H21" s="27">
        <v>200</v>
      </c>
      <c r="I21" s="159">
        <v>80</v>
      </c>
      <c r="J21" s="28">
        <f t="shared" si="2"/>
        <v>8.3478260869565606</v>
      </c>
    </row>
    <row r="22" spans="1:10" ht="75">
      <c r="A22" s="4"/>
      <c r="B22" s="5"/>
      <c r="C22" s="158" t="s">
        <v>185</v>
      </c>
      <c r="D22" s="160" t="s">
        <v>186</v>
      </c>
      <c r="E22" s="161" t="s">
        <v>77</v>
      </c>
      <c r="F22" s="162">
        <v>5.7971014492753603E-2</v>
      </c>
      <c r="G22" s="27">
        <v>2</v>
      </c>
      <c r="H22" s="27"/>
      <c r="I22" s="159">
        <v>20</v>
      </c>
      <c r="J22" s="28">
        <f t="shared" si="2"/>
        <v>1.1594202898550721</v>
      </c>
    </row>
    <row r="23" spans="1:10" ht="45">
      <c r="A23" s="4"/>
      <c r="B23" s="5"/>
      <c r="C23" s="158" t="s">
        <v>187</v>
      </c>
      <c r="D23" s="160" t="s">
        <v>188</v>
      </c>
      <c r="E23" s="161" t="s">
        <v>77</v>
      </c>
      <c r="F23" s="162">
        <v>6.4927536231884103E-2</v>
      </c>
      <c r="G23" s="27">
        <v>8</v>
      </c>
      <c r="H23" s="27">
        <v>200</v>
      </c>
      <c r="I23" s="159">
        <v>80</v>
      </c>
      <c r="J23" s="28">
        <f t="shared" si="2"/>
        <v>5.1942028985507278</v>
      </c>
    </row>
    <row r="24" spans="1:10" ht="45">
      <c r="A24" s="4"/>
      <c r="B24" s="5"/>
      <c r="C24" s="158" t="s">
        <v>115</v>
      </c>
      <c r="D24" s="160" t="s">
        <v>189</v>
      </c>
      <c r="E24" s="161" t="s">
        <v>77</v>
      </c>
      <c r="F24" s="162">
        <v>5.7971014492753603E-2</v>
      </c>
      <c r="G24" s="27">
        <v>8</v>
      </c>
      <c r="H24" s="27">
        <v>200</v>
      </c>
      <c r="I24" s="159">
        <v>80</v>
      </c>
      <c r="J24" s="28">
        <f t="shared" si="2"/>
        <v>4.6376811594202882</v>
      </c>
    </row>
    <row r="25" spans="1:10" ht="45">
      <c r="A25" s="4"/>
      <c r="B25" s="5"/>
      <c r="C25" s="158" t="s">
        <v>190</v>
      </c>
      <c r="D25" s="160" t="s">
        <v>191</v>
      </c>
      <c r="E25" s="161" t="s">
        <v>77</v>
      </c>
      <c r="F25" s="162">
        <v>0.30260869565217402</v>
      </c>
      <c r="G25" s="27">
        <v>2</v>
      </c>
      <c r="H25" s="27">
        <v>50</v>
      </c>
      <c r="I25" s="159">
        <v>20</v>
      </c>
      <c r="J25" s="28">
        <f t="shared" si="2"/>
        <v>6.0521739130434806</v>
      </c>
    </row>
    <row r="26" spans="1:10" ht="45">
      <c r="A26" s="4"/>
      <c r="B26" s="5"/>
      <c r="C26" s="158" t="s">
        <v>192</v>
      </c>
      <c r="D26" s="160" t="s">
        <v>193</v>
      </c>
      <c r="E26" s="161" t="s">
        <v>119</v>
      </c>
      <c r="F26" s="162">
        <v>0.22028985507246401</v>
      </c>
      <c r="G26" s="27">
        <v>2</v>
      </c>
      <c r="H26" s="27">
        <v>50</v>
      </c>
      <c r="I26" s="159">
        <v>20</v>
      </c>
      <c r="J26" s="28">
        <f t="shared" si="2"/>
        <v>4.4057971014492807</v>
      </c>
    </row>
    <row r="27" spans="1:10" ht="60">
      <c r="A27" s="4"/>
      <c r="B27" s="5"/>
      <c r="C27" s="158" t="s">
        <v>134</v>
      </c>
      <c r="D27" s="160" t="s">
        <v>194</v>
      </c>
      <c r="E27" s="161" t="s">
        <v>119</v>
      </c>
      <c r="F27" s="162">
        <v>6.1449275362318798E-2</v>
      </c>
      <c r="G27" s="27">
        <v>12</v>
      </c>
      <c r="H27" s="27">
        <v>300</v>
      </c>
      <c r="I27" s="159">
        <v>120</v>
      </c>
      <c r="J27" s="28">
        <f t="shared" si="2"/>
        <v>7.3739130434782556</v>
      </c>
    </row>
    <row r="28" spans="1:10" ht="60">
      <c r="A28" s="4"/>
      <c r="B28" s="5"/>
      <c r="C28" s="158" t="s">
        <v>195</v>
      </c>
      <c r="D28" s="160" t="s">
        <v>196</v>
      </c>
      <c r="E28" s="161" t="s">
        <v>119</v>
      </c>
      <c r="F28" s="162">
        <v>4.4057971014492797E-2</v>
      </c>
      <c r="G28" s="27">
        <v>4</v>
      </c>
      <c r="H28" s="27">
        <v>100</v>
      </c>
      <c r="I28" s="159">
        <v>40</v>
      </c>
      <c r="J28" s="28">
        <f t="shared" si="2"/>
        <v>1.7623188405797119</v>
      </c>
    </row>
    <row r="29" spans="1:10" ht="45">
      <c r="A29" s="4"/>
      <c r="B29" s="5"/>
      <c r="C29" s="158" t="s">
        <v>197</v>
      </c>
      <c r="D29" s="160" t="s">
        <v>198</v>
      </c>
      <c r="E29" s="161" t="s">
        <v>119</v>
      </c>
      <c r="F29" s="162">
        <v>0.60521739130434804</v>
      </c>
      <c r="G29" s="27">
        <v>2</v>
      </c>
      <c r="H29" s="27">
        <v>50</v>
      </c>
      <c r="I29" s="159">
        <v>20</v>
      </c>
      <c r="J29" s="28">
        <f t="shared" si="2"/>
        <v>12.104347826086961</v>
      </c>
    </row>
    <row r="30" spans="1:10" ht="45">
      <c r="A30" s="4"/>
      <c r="B30" s="5"/>
      <c r="C30" s="163" t="s">
        <v>199</v>
      </c>
      <c r="D30" s="164" t="s">
        <v>200</v>
      </c>
      <c r="E30" s="165" t="s">
        <v>119</v>
      </c>
      <c r="F30" s="166">
        <v>1.11304347826087</v>
      </c>
      <c r="G30" s="167">
        <v>4</v>
      </c>
      <c r="H30" s="167">
        <v>100</v>
      </c>
      <c r="I30" s="159">
        <v>40</v>
      </c>
      <c r="J30" s="168">
        <f t="shared" si="2"/>
        <v>44.521739130434803</v>
      </c>
    </row>
    <row r="31" spans="1:10" ht="45">
      <c r="A31" s="4"/>
      <c r="B31" s="5"/>
      <c r="C31" s="163" t="s">
        <v>201</v>
      </c>
      <c r="D31" s="164" t="s">
        <v>202</v>
      </c>
      <c r="E31" s="165" t="s">
        <v>119</v>
      </c>
      <c r="F31" s="166">
        <v>0.51014492753623197</v>
      </c>
      <c r="G31" s="167">
        <v>4</v>
      </c>
      <c r="H31" s="167">
        <v>100</v>
      </c>
      <c r="I31" s="159">
        <v>40</v>
      </c>
      <c r="J31" s="168">
        <f t="shared" si="2"/>
        <v>20.405797101449281</v>
      </c>
    </row>
    <row r="32" spans="1:10" ht="45">
      <c r="A32" s="4"/>
      <c r="B32" s="5"/>
      <c r="C32" s="163" t="s">
        <v>203</v>
      </c>
      <c r="D32" s="164" t="s">
        <v>204</v>
      </c>
      <c r="E32" s="165" t="s">
        <v>119</v>
      </c>
      <c r="F32" s="166">
        <v>0.48695652173913001</v>
      </c>
      <c r="G32" s="167">
        <v>4</v>
      </c>
      <c r="H32" s="167">
        <v>100</v>
      </c>
      <c r="I32" s="159">
        <v>40</v>
      </c>
      <c r="J32" s="168">
        <f t="shared" si="2"/>
        <v>19.478260869565201</v>
      </c>
    </row>
    <row r="33" spans="1:10" ht="45">
      <c r="A33" s="4"/>
      <c r="B33" s="5"/>
      <c r="C33" s="163" t="s">
        <v>205</v>
      </c>
      <c r="D33" s="164" t="s">
        <v>206</v>
      </c>
      <c r="E33" s="165" t="s">
        <v>119</v>
      </c>
      <c r="F33" s="166">
        <v>0.266666666666667</v>
      </c>
      <c r="G33" s="167">
        <v>4</v>
      </c>
      <c r="H33" s="167">
        <v>100</v>
      </c>
      <c r="I33" s="159">
        <v>40</v>
      </c>
      <c r="J33" s="168">
        <f t="shared" si="2"/>
        <v>10.66666666666668</v>
      </c>
    </row>
    <row r="34" spans="1:10" ht="60">
      <c r="A34" s="4"/>
      <c r="B34" s="5"/>
      <c r="C34" s="158" t="s">
        <v>207</v>
      </c>
      <c r="D34" s="160" t="s">
        <v>208</v>
      </c>
      <c r="E34" s="161" t="s">
        <v>119</v>
      </c>
      <c r="F34" s="162">
        <v>0.58782608695652205</v>
      </c>
      <c r="G34" s="27">
        <v>2</v>
      </c>
      <c r="H34" s="27">
        <v>50</v>
      </c>
      <c r="I34" s="159">
        <v>20</v>
      </c>
      <c r="J34" s="28">
        <f t="shared" si="2"/>
        <v>11.756521739130442</v>
      </c>
    </row>
    <row r="35" spans="1:10" ht="120">
      <c r="A35" s="4"/>
      <c r="B35" s="5"/>
      <c r="C35" s="158" t="s">
        <v>209</v>
      </c>
      <c r="D35" s="160" t="s">
        <v>210</v>
      </c>
      <c r="E35" s="161" t="s">
        <v>80</v>
      </c>
      <c r="F35" s="162">
        <v>3.9420289855072503E-2</v>
      </c>
      <c r="G35" s="27">
        <v>1</v>
      </c>
      <c r="H35" s="27">
        <v>50</v>
      </c>
      <c r="I35" s="159">
        <v>10</v>
      </c>
      <c r="J35" s="28">
        <f t="shared" si="2"/>
        <v>0.39420289855072504</v>
      </c>
    </row>
    <row r="36" spans="1:10" ht="120">
      <c r="A36" s="4"/>
      <c r="B36" s="5"/>
      <c r="C36" s="158" t="s">
        <v>211</v>
      </c>
      <c r="D36" s="160" t="s">
        <v>212</v>
      </c>
      <c r="E36" s="161" t="s">
        <v>80</v>
      </c>
      <c r="F36" s="162">
        <v>9.2753623188405798E-2</v>
      </c>
      <c r="G36" s="27">
        <v>2</v>
      </c>
      <c r="H36" s="27">
        <v>50</v>
      </c>
      <c r="I36" s="159">
        <v>20</v>
      </c>
      <c r="J36" s="28">
        <f t="shared" si="2"/>
        <v>1.855072463768116</v>
      </c>
    </row>
    <row r="37" spans="1:10" ht="39">
      <c r="A37" s="4"/>
      <c r="B37" s="5"/>
      <c r="C37" s="158" t="s">
        <v>213</v>
      </c>
      <c r="D37" s="160" t="s">
        <v>214</v>
      </c>
      <c r="E37" s="161" t="s">
        <v>80</v>
      </c>
      <c r="F37" s="162">
        <v>2.2028985507246399E-2</v>
      </c>
      <c r="G37" s="27">
        <v>2</v>
      </c>
      <c r="H37" s="27">
        <v>100</v>
      </c>
      <c r="I37" s="159">
        <v>20</v>
      </c>
      <c r="J37" s="28">
        <f t="shared" si="2"/>
        <v>0.44057971014492797</v>
      </c>
    </row>
    <row r="38" spans="1:10" ht="60">
      <c r="A38" s="4"/>
      <c r="B38" s="5"/>
      <c r="C38" s="158" t="s">
        <v>215</v>
      </c>
      <c r="D38" s="160" t="s">
        <v>216</v>
      </c>
      <c r="E38" s="161" t="s">
        <v>119</v>
      </c>
      <c r="F38" s="162">
        <v>0.44057971014492803</v>
      </c>
      <c r="G38" s="27">
        <v>1</v>
      </c>
      <c r="H38" s="27">
        <v>10</v>
      </c>
      <c r="I38" s="159">
        <v>10</v>
      </c>
      <c r="J38" s="28">
        <f t="shared" si="2"/>
        <v>4.4057971014492807</v>
      </c>
    </row>
    <row r="39" spans="1:10" ht="45">
      <c r="A39" s="4"/>
      <c r="B39" s="5"/>
      <c r="C39" s="158" t="s">
        <v>217</v>
      </c>
      <c r="D39" s="160" t="s">
        <v>218</v>
      </c>
      <c r="E39" s="161" t="s">
        <v>119</v>
      </c>
      <c r="F39" s="162">
        <v>5.7971014492753596</v>
      </c>
      <c r="G39" s="27">
        <v>1</v>
      </c>
      <c r="H39" s="27">
        <v>10</v>
      </c>
      <c r="I39" s="159">
        <v>10</v>
      </c>
      <c r="J39" s="28">
        <f t="shared" si="2"/>
        <v>57.971014492753596</v>
      </c>
    </row>
    <row r="40" spans="1:10" ht="120">
      <c r="A40" s="4"/>
      <c r="B40" s="5"/>
      <c r="C40" s="158" t="s">
        <v>219</v>
      </c>
      <c r="D40" s="160" t="s">
        <v>220</v>
      </c>
      <c r="E40" s="161" t="s">
        <v>221</v>
      </c>
      <c r="F40" s="162">
        <v>5.6231884057970998</v>
      </c>
      <c r="G40" s="27">
        <v>3</v>
      </c>
      <c r="H40" s="27">
        <v>30</v>
      </c>
      <c r="I40" s="159">
        <v>30</v>
      </c>
      <c r="J40" s="28">
        <f t="shared" si="2"/>
        <v>168.695652173913</v>
      </c>
    </row>
    <row r="41" spans="1:10" ht="120">
      <c r="A41" s="4"/>
      <c r="B41" s="5"/>
      <c r="C41" s="158" t="s">
        <v>219</v>
      </c>
      <c r="D41" s="160" t="s">
        <v>222</v>
      </c>
      <c r="E41" s="161" t="s">
        <v>221</v>
      </c>
      <c r="F41" s="162">
        <v>5.6231884057970998</v>
      </c>
      <c r="G41" s="27">
        <v>3</v>
      </c>
      <c r="H41" s="27">
        <v>30</v>
      </c>
      <c r="I41" s="159">
        <v>30</v>
      </c>
      <c r="J41" s="28">
        <f t="shared" si="2"/>
        <v>168.695652173913</v>
      </c>
    </row>
    <row r="42" spans="1:10" ht="60">
      <c r="A42" s="4"/>
      <c r="B42" s="5"/>
      <c r="C42" s="158" t="s">
        <v>223</v>
      </c>
      <c r="D42" s="160" t="s">
        <v>224</v>
      </c>
      <c r="E42" s="161" t="s">
        <v>221</v>
      </c>
      <c r="F42" s="162">
        <v>6.8521739130434796</v>
      </c>
      <c r="G42" s="27">
        <v>1</v>
      </c>
      <c r="H42" s="27">
        <v>10</v>
      </c>
      <c r="I42" s="159">
        <v>10</v>
      </c>
      <c r="J42" s="28">
        <f t="shared" si="2"/>
        <v>68.521739130434796</v>
      </c>
    </row>
    <row r="43" spans="1:10" ht="26">
      <c r="A43" s="4"/>
      <c r="B43" s="5"/>
      <c r="C43" s="158" t="s">
        <v>225</v>
      </c>
      <c r="D43" s="160" t="s">
        <v>226</v>
      </c>
      <c r="E43" s="161" t="s">
        <v>119</v>
      </c>
      <c r="F43" s="162">
        <v>0.37101449275362303</v>
      </c>
      <c r="G43" s="27">
        <v>2</v>
      </c>
      <c r="H43" s="27">
        <v>20</v>
      </c>
      <c r="I43" s="159">
        <v>20</v>
      </c>
      <c r="J43" s="28">
        <f t="shared" si="2"/>
        <v>7.4202898550724603</v>
      </c>
    </row>
    <row r="44" spans="1:10" ht="45">
      <c r="A44" s="4"/>
      <c r="B44" s="5"/>
      <c r="C44" s="158" t="s">
        <v>227</v>
      </c>
      <c r="D44" s="160" t="s">
        <v>228</v>
      </c>
      <c r="E44" s="161" t="s">
        <v>119</v>
      </c>
      <c r="F44" s="162">
        <v>0.197101449275362</v>
      </c>
      <c r="G44" s="27">
        <v>2</v>
      </c>
      <c r="H44" s="27">
        <v>20</v>
      </c>
      <c r="I44" s="159">
        <v>20</v>
      </c>
      <c r="J44" s="28">
        <f t="shared" si="2"/>
        <v>3.9420289855072399</v>
      </c>
    </row>
    <row r="45" spans="1:10" ht="26">
      <c r="A45" s="4"/>
      <c r="B45" s="5"/>
      <c r="C45" s="158"/>
      <c r="D45" s="160" t="s">
        <v>229</v>
      </c>
      <c r="E45" s="161" t="s">
        <v>119</v>
      </c>
      <c r="F45" s="162">
        <v>1.0550724637681199</v>
      </c>
      <c r="G45" s="27">
        <v>1</v>
      </c>
      <c r="H45" s="27">
        <v>10</v>
      </c>
      <c r="I45" s="159">
        <v>10</v>
      </c>
      <c r="J45" s="28">
        <f t="shared" si="2"/>
        <v>10.550724637681199</v>
      </c>
    </row>
    <row r="46" spans="1:10" ht="26">
      <c r="A46" s="4"/>
      <c r="B46" s="5"/>
      <c r="C46" s="158"/>
      <c r="D46" s="160" t="s">
        <v>230</v>
      </c>
      <c r="E46" s="161" t="s">
        <v>119</v>
      </c>
      <c r="F46" s="162">
        <v>9.3101449275362302</v>
      </c>
      <c r="G46" s="27">
        <v>1</v>
      </c>
      <c r="H46" s="27">
        <v>10</v>
      </c>
      <c r="I46" s="159">
        <v>10</v>
      </c>
      <c r="J46" s="28">
        <f t="shared" si="2"/>
        <v>93.101449275362299</v>
      </c>
    </row>
    <row r="47" spans="1:10" ht="30">
      <c r="A47" s="4"/>
      <c r="B47" s="5"/>
      <c r="C47" s="158" t="s">
        <v>231</v>
      </c>
      <c r="D47" s="160" t="s">
        <v>232</v>
      </c>
      <c r="E47" s="161" t="s">
        <v>77</v>
      </c>
      <c r="F47" s="162">
        <v>0.60289855072463805</v>
      </c>
      <c r="G47" s="27">
        <v>6.02</v>
      </c>
      <c r="H47" s="27">
        <v>141</v>
      </c>
      <c r="I47" s="159">
        <v>60.199999999999996</v>
      </c>
      <c r="J47" s="28">
        <f t="shared" si="2"/>
        <v>36.29449275362321</v>
      </c>
    </row>
    <row r="48" spans="1:10" ht="30">
      <c r="A48" s="4"/>
      <c r="B48" s="5"/>
      <c r="C48" s="158" t="s">
        <v>159</v>
      </c>
      <c r="D48" s="160" t="s">
        <v>233</v>
      </c>
      <c r="E48" s="161" t="s">
        <v>77</v>
      </c>
      <c r="F48" s="162">
        <v>0.188985507246377</v>
      </c>
      <c r="G48" s="27">
        <v>6.02</v>
      </c>
      <c r="H48" s="27">
        <v>480</v>
      </c>
      <c r="I48" s="159">
        <v>60.199999999999996</v>
      </c>
      <c r="J48" s="28">
        <f t="shared" si="2"/>
        <v>11.376927536231895</v>
      </c>
    </row>
    <row r="49" spans="1:10" ht="45">
      <c r="A49" s="4"/>
      <c r="B49" s="5"/>
      <c r="C49" s="158" t="s">
        <v>154</v>
      </c>
      <c r="D49" s="160" t="s">
        <v>234</v>
      </c>
      <c r="E49" s="161" t="s">
        <v>77</v>
      </c>
      <c r="F49" s="162">
        <v>0.197101449275362</v>
      </c>
      <c r="G49" s="27">
        <v>6.95</v>
      </c>
      <c r="H49" s="27">
        <v>240</v>
      </c>
      <c r="I49" s="159"/>
      <c r="J49" s="28">
        <f t="shared" si="2"/>
        <v>0</v>
      </c>
    </row>
    <row r="50" spans="1:10" ht="45">
      <c r="A50" s="4"/>
      <c r="B50" s="5"/>
      <c r="C50" s="158" t="s">
        <v>155</v>
      </c>
      <c r="D50" s="160" t="s">
        <v>235</v>
      </c>
      <c r="E50" s="161" t="s">
        <v>77</v>
      </c>
      <c r="F50" s="162">
        <v>0.32463768115941999</v>
      </c>
      <c r="G50" s="27">
        <v>6.95</v>
      </c>
      <c r="H50" s="27">
        <v>240</v>
      </c>
      <c r="I50" s="159"/>
      <c r="J50" s="28">
        <f t="shared" si="2"/>
        <v>0</v>
      </c>
    </row>
    <row r="51" spans="1:10" ht="30">
      <c r="A51" s="4"/>
      <c r="B51" s="5"/>
      <c r="C51" s="158" t="s">
        <v>157</v>
      </c>
      <c r="D51" s="160" t="s">
        <v>236</v>
      </c>
      <c r="E51" s="161" t="s">
        <v>77</v>
      </c>
      <c r="F51" s="162">
        <v>8.5797101449275395E-2</v>
      </c>
      <c r="G51" s="27">
        <v>0.8</v>
      </c>
      <c r="H51" s="27">
        <v>500</v>
      </c>
      <c r="I51" s="159">
        <v>8</v>
      </c>
      <c r="J51" s="28">
        <f t="shared" si="2"/>
        <v>0.68637681159420316</v>
      </c>
    </row>
    <row r="52" spans="1:10" ht="30">
      <c r="A52" s="4"/>
      <c r="B52" s="5"/>
      <c r="C52" s="158" t="s">
        <v>159</v>
      </c>
      <c r="D52" s="160" t="s">
        <v>237</v>
      </c>
      <c r="E52" s="161" t="s">
        <v>77</v>
      </c>
      <c r="F52" s="162">
        <v>0.17159420289855101</v>
      </c>
      <c r="G52" s="27">
        <v>6.02</v>
      </c>
      <c r="H52" s="27">
        <v>500</v>
      </c>
      <c r="I52" s="159">
        <v>60.199999999999996</v>
      </c>
      <c r="J52" s="28">
        <f t="shared" si="2"/>
        <v>10.32997101449277</v>
      </c>
    </row>
    <row r="53" spans="1:10" ht="30">
      <c r="A53" s="4"/>
      <c r="B53" s="5"/>
      <c r="C53" s="158" t="s">
        <v>159</v>
      </c>
      <c r="D53" s="160" t="s">
        <v>238</v>
      </c>
      <c r="E53" s="161" t="s">
        <v>77</v>
      </c>
      <c r="F53" s="162">
        <v>0.197101449275362</v>
      </c>
      <c r="G53" s="27">
        <v>6.02</v>
      </c>
      <c r="H53" s="27">
        <v>40</v>
      </c>
      <c r="I53" s="159">
        <v>60.2</v>
      </c>
      <c r="J53" s="28">
        <f t="shared" si="2"/>
        <v>11.865507246376792</v>
      </c>
    </row>
    <row r="54" spans="1:10" ht="30">
      <c r="A54" s="4"/>
      <c r="B54" s="5"/>
      <c r="C54" s="158" t="s">
        <v>242</v>
      </c>
      <c r="D54" s="119"/>
      <c r="E54" s="161"/>
      <c r="F54" s="26"/>
      <c r="G54" s="27"/>
      <c r="H54" s="27"/>
      <c r="I54" s="28"/>
      <c r="J54" s="28">
        <f>SUM(J19:J53)</f>
        <v>821.04602898550729</v>
      </c>
    </row>
  </sheetData>
  <mergeCells count="3">
    <mergeCell ref="A1:J1"/>
    <mergeCell ref="B3:B15"/>
    <mergeCell ref="A17:J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1D069-675A-449D-A3E4-2FDCD564E7C8}">
  <dimension ref="A1:L82"/>
  <sheetViews>
    <sheetView zoomScale="85" zoomScaleNormal="85" workbookViewId="0">
      <selection activeCell="L2" sqref="L2:L9"/>
    </sheetView>
  </sheetViews>
  <sheetFormatPr defaultRowHeight="14.5"/>
  <cols>
    <col min="3" max="3" width="22.54296875" customWidth="1"/>
    <col min="4" max="4" width="12.81640625" bestFit="1" customWidth="1"/>
    <col min="5" max="5" width="14" bestFit="1" customWidth="1"/>
    <col min="8" max="8" width="11.54296875" customWidth="1"/>
    <col min="10" max="10" width="8.54296875" bestFit="1" customWidth="1"/>
    <col min="12" max="12" width="41.54296875" bestFit="1" customWidth="1"/>
  </cols>
  <sheetData>
    <row r="1" spans="1:12" ht="15">
      <c r="A1" s="71" t="s">
        <v>261</v>
      </c>
      <c r="B1" s="71"/>
      <c r="C1" s="71"/>
      <c r="D1" s="71"/>
      <c r="E1" s="71"/>
      <c r="F1" s="71"/>
      <c r="G1" s="71"/>
      <c r="H1" s="71"/>
      <c r="I1" s="71"/>
      <c r="J1" s="71"/>
    </row>
    <row r="2" spans="1:12" ht="28.5" thickBot="1">
      <c r="A2" s="72"/>
      <c r="B2" s="50" t="s">
        <v>1</v>
      </c>
      <c r="C2" s="73" t="s">
        <v>2</v>
      </c>
      <c r="D2" s="73" t="s">
        <v>3</v>
      </c>
      <c r="E2" s="73" t="s">
        <v>4</v>
      </c>
      <c r="F2" s="73" t="s">
        <v>5</v>
      </c>
      <c r="G2" s="73" t="s">
        <v>6</v>
      </c>
      <c r="H2" s="73" t="s">
        <v>7</v>
      </c>
      <c r="I2" s="73" t="s">
        <v>8</v>
      </c>
      <c r="J2" s="73" t="s">
        <v>9</v>
      </c>
      <c r="L2" t="s">
        <v>264</v>
      </c>
    </row>
    <row r="3" spans="1:12" ht="33" customHeight="1">
      <c r="A3" s="74">
        <v>1</v>
      </c>
      <c r="B3" s="75"/>
      <c r="C3" s="76" t="s">
        <v>59</v>
      </c>
      <c r="D3" s="77" t="s">
        <v>14</v>
      </c>
      <c r="E3" s="185">
        <v>25.531914893617021</v>
      </c>
      <c r="F3" s="78">
        <v>4.7</v>
      </c>
      <c r="G3" s="79">
        <v>0.25900000000000001</v>
      </c>
      <c r="H3" s="80">
        <v>4.18</v>
      </c>
      <c r="I3" s="80">
        <f>F3*E3*G3*1.1</f>
        <v>34.188000000000002</v>
      </c>
      <c r="J3" s="81">
        <f>I3*H3</f>
        <v>142.90584000000001</v>
      </c>
      <c r="L3" s="117" t="s">
        <v>171</v>
      </c>
    </row>
    <row r="4" spans="1:12" ht="21" customHeight="1" thickBot="1">
      <c r="A4" s="74">
        <v>2</v>
      </c>
      <c r="B4" s="75"/>
      <c r="C4" s="82" t="s">
        <v>60</v>
      </c>
      <c r="D4" s="83" t="s">
        <v>14</v>
      </c>
      <c r="E4" s="186">
        <v>4.2553191489361701</v>
      </c>
      <c r="F4" s="85">
        <v>4.7</v>
      </c>
      <c r="G4" s="74">
        <v>0.42099999999999999</v>
      </c>
      <c r="H4" s="74">
        <v>4.18</v>
      </c>
      <c r="I4" s="74">
        <f t="shared" ref="I4:I28" si="0">F4*E4*G4*1.1</f>
        <v>9.2620000000000005</v>
      </c>
      <c r="J4" s="86">
        <f t="shared" ref="J4:J28" si="1">I4*H4</f>
        <v>38.715159999999997</v>
      </c>
    </row>
    <row r="5" spans="1:12" ht="30" customHeight="1">
      <c r="A5" s="74">
        <v>3</v>
      </c>
      <c r="B5" s="75"/>
      <c r="C5" s="82" t="s">
        <v>61</v>
      </c>
      <c r="D5" s="83" t="s">
        <v>14</v>
      </c>
      <c r="E5" s="186">
        <v>8.5106382978723403</v>
      </c>
      <c r="F5" s="85">
        <v>4.7</v>
      </c>
      <c r="G5" s="74">
        <v>0.56499999999999995</v>
      </c>
      <c r="H5" s="74">
        <v>4.18</v>
      </c>
      <c r="I5" s="74">
        <f t="shared" si="0"/>
        <v>24.86</v>
      </c>
      <c r="J5" s="86">
        <f t="shared" si="1"/>
        <v>103.91479999999999</v>
      </c>
      <c r="L5" s="77" t="s">
        <v>168</v>
      </c>
    </row>
    <row r="6" spans="1:12" ht="22" customHeight="1">
      <c r="A6" s="74">
        <v>4</v>
      </c>
      <c r="B6" s="75"/>
      <c r="C6" s="82" t="s">
        <v>62</v>
      </c>
      <c r="D6" s="83" t="s">
        <v>14</v>
      </c>
      <c r="E6" s="186">
        <v>4.2553191489361701</v>
      </c>
      <c r="F6" s="85">
        <v>4.7</v>
      </c>
      <c r="G6" s="74">
        <v>0.41499999999999998</v>
      </c>
      <c r="H6" s="74">
        <v>4.18</v>
      </c>
      <c r="I6" s="74">
        <f t="shared" si="0"/>
        <v>9.129999999999999</v>
      </c>
      <c r="J6" s="86">
        <f t="shared" si="1"/>
        <v>38.163399999999996</v>
      </c>
      <c r="L6" s="95" t="s">
        <v>169</v>
      </c>
    </row>
    <row r="7" spans="1:12" ht="29.5" customHeight="1">
      <c r="A7" s="74">
        <v>5</v>
      </c>
      <c r="B7" s="75"/>
      <c r="C7" s="82" t="s">
        <v>62</v>
      </c>
      <c r="D7" s="83" t="s">
        <v>14</v>
      </c>
      <c r="E7" s="186">
        <v>4.2553191489361701</v>
      </c>
      <c r="F7" s="85">
        <v>4.7</v>
      </c>
      <c r="G7" s="74">
        <v>0.41499999999999998</v>
      </c>
      <c r="H7" s="74">
        <v>4.18</v>
      </c>
      <c r="I7" s="74">
        <f t="shared" si="0"/>
        <v>9.129999999999999</v>
      </c>
      <c r="J7" s="86">
        <f t="shared" si="1"/>
        <v>38.163399999999996</v>
      </c>
      <c r="L7" s="169" t="s">
        <v>170</v>
      </c>
    </row>
    <row r="8" spans="1:12" ht="29">
      <c r="A8" s="74">
        <v>6</v>
      </c>
      <c r="B8" s="75"/>
      <c r="C8" s="87" t="s">
        <v>63</v>
      </c>
      <c r="D8" s="83" t="s">
        <v>14</v>
      </c>
      <c r="E8" s="187">
        <v>0</v>
      </c>
      <c r="F8" s="85">
        <v>4.7</v>
      </c>
      <c r="G8" s="74">
        <v>1.111</v>
      </c>
      <c r="H8" s="74">
        <v>4.4000000000000004</v>
      </c>
      <c r="I8" s="74">
        <f t="shared" si="0"/>
        <v>0</v>
      </c>
      <c r="J8" s="86">
        <f t="shared" si="1"/>
        <v>0</v>
      </c>
      <c r="L8" s="169" t="s">
        <v>243</v>
      </c>
    </row>
    <row r="9" spans="1:12" ht="15">
      <c r="A9" s="74">
        <v>7</v>
      </c>
      <c r="B9" s="75"/>
      <c r="C9" s="82" t="s">
        <v>64</v>
      </c>
      <c r="D9" s="83" t="s">
        <v>14</v>
      </c>
      <c r="E9" s="186">
        <v>12.76595744680851</v>
      </c>
      <c r="F9" s="85">
        <v>4.7</v>
      </c>
      <c r="G9" s="74">
        <v>1.915</v>
      </c>
      <c r="H9" s="74">
        <v>4.4000000000000004</v>
      </c>
      <c r="I9" s="74">
        <f t="shared" si="0"/>
        <v>126.39000000000001</v>
      </c>
      <c r="J9" s="86">
        <f t="shared" si="1"/>
        <v>556.1160000000001</v>
      </c>
      <c r="L9" t="s">
        <v>241</v>
      </c>
    </row>
    <row r="10" spans="1:12" ht="15">
      <c r="A10" s="74">
        <v>8</v>
      </c>
      <c r="B10" s="75"/>
      <c r="C10" s="82" t="s">
        <v>65</v>
      </c>
      <c r="D10" s="83" t="s">
        <v>14</v>
      </c>
      <c r="E10" s="186">
        <v>3.4042553191489362</v>
      </c>
      <c r="F10" s="85">
        <v>4.7</v>
      </c>
      <c r="G10" s="74">
        <v>0.24099999999999999</v>
      </c>
      <c r="H10" s="74">
        <v>4.4000000000000004</v>
      </c>
      <c r="I10" s="74">
        <f t="shared" si="0"/>
        <v>4.2416</v>
      </c>
      <c r="J10" s="86">
        <f t="shared" si="1"/>
        <v>18.663040000000002</v>
      </c>
    </row>
    <row r="11" spans="1:12" ht="15">
      <c r="A11" s="74">
        <v>9</v>
      </c>
      <c r="B11" s="75"/>
      <c r="C11" s="82" t="s">
        <v>66</v>
      </c>
      <c r="D11" s="83" t="s">
        <v>14</v>
      </c>
      <c r="E11" s="186">
        <v>4.2553191489361701</v>
      </c>
      <c r="F11" s="85">
        <v>4.7</v>
      </c>
      <c r="G11" s="74">
        <v>1.962</v>
      </c>
      <c r="H11" s="74">
        <v>4.4000000000000004</v>
      </c>
      <c r="I11" s="74">
        <f t="shared" si="0"/>
        <v>43.164000000000009</v>
      </c>
      <c r="J11" s="86">
        <f t="shared" si="1"/>
        <v>189.92160000000004</v>
      </c>
    </row>
    <row r="12" spans="1:12" ht="15">
      <c r="A12" s="74">
        <v>10</v>
      </c>
      <c r="B12" s="75"/>
      <c r="C12" s="82" t="s">
        <v>67</v>
      </c>
      <c r="D12" s="83" t="s">
        <v>14</v>
      </c>
      <c r="E12" s="186">
        <v>2.1276595744680851</v>
      </c>
      <c r="F12" s="85">
        <v>4.7</v>
      </c>
      <c r="G12" s="74">
        <v>1.2929999999999999</v>
      </c>
      <c r="H12" s="74">
        <v>4.4000000000000004</v>
      </c>
      <c r="I12" s="74">
        <f t="shared" si="0"/>
        <v>14.223000000000001</v>
      </c>
      <c r="J12" s="86">
        <f t="shared" si="1"/>
        <v>62.58120000000001</v>
      </c>
    </row>
    <row r="13" spans="1:12" ht="15">
      <c r="A13" s="74">
        <v>11</v>
      </c>
      <c r="B13" s="75"/>
      <c r="C13" s="82" t="s">
        <v>68</v>
      </c>
      <c r="D13" s="83" t="s">
        <v>14</v>
      </c>
      <c r="E13" s="186">
        <v>17.23404255319149</v>
      </c>
      <c r="F13" s="85">
        <v>4.7</v>
      </c>
      <c r="G13" s="74">
        <v>2.6779999999999999</v>
      </c>
      <c r="H13" s="74">
        <v>4.4000000000000004</v>
      </c>
      <c r="I13" s="74">
        <f t="shared" si="0"/>
        <v>238.60980000000004</v>
      </c>
      <c r="J13" s="86">
        <f t="shared" si="1"/>
        <v>1049.8831200000002</v>
      </c>
    </row>
    <row r="14" spans="1:12" ht="15">
      <c r="A14" s="74">
        <v>12</v>
      </c>
      <c r="B14" s="75"/>
      <c r="C14" s="82" t="s">
        <v>69</v>
      </c>
      <c r="D14" s="83" t="s">
        <v>14</v>
      </c>
      <c r="E14" s="186">
        <v>8.5106382978723403</v>
      </c>
      <c r="F14" s="85">
        <v>4.7</v>
      </c>
      <c r="G14" s="74">
        <v>2.0070000000000001</v>
      </c>
      <c r="H14" s="74">
        <v>4.4000000000000004</v>
      </c>
      <c r="I14" s="74">
        <f t="shared" si="0"/>
        <v>88.308000000000007</v>
      </c>
      <c r="J14" s="86">
        <f t="shared" si="1"/>
        <v>388.55520000000007</v>
      </c>
    </row>
    <row r="15" spans="1:12" ht="15.5" thickBot="1">
      <c r="A15" s="74">
        <v>13</v>
      </c>
      <c r="B15" s="75"/>
      <c r="C15" s="89" t="s">
        <v>70</v>
      </c>
      <c r="D15" s="90" t="s">
        <v>14</v>
      </c>
      <c r="E15" s="188">
        <v>8.5106382978723403</v>
      </c>
      <c r="F15" s="91">
        <v>4.7</v>
      </c>
      <c r="G15" s="92">
        <v>0.22600000000000001</v>
      </c>
      <c r="H15" s="92">
        <v>4.18</v>
      </c>
      <c r="I15" s="92">
        <f t="shared" si="0"/>
        <v>9.9440000000000026</v>
      </c>
      <c r="J15" s="93">
        <f t="shared" si="1"/>
        <v>41.565920000000006</v>
      </c>
    </row>
    <row r="16" spans="1:12" ht="15">
      <c r="A16" s="74">
        <v>14</v>
      </c>
      <c r="B16" s="74"/>
      <c r="C16" s="94" t="s">
        <v>59</v>
      </c>
      <c r="D16" s="95" t="s">
        <v>18</v>
      </c>
      <c r="E16" s="96">
        <v>0</v>
      </c>
      <c r="F16" s="97">
        <v>4.7</v>
      </c>
      <c r="G16" s="98">
        <v>0.25900000000000001</v>
      </c>
      <c r="H16" s="95">
        <v>4.18</v>
      </c>
      <c r="I16" s="95">
        <f t="shared" si="0"/>
        <v>0</v>
      </c>
      <c r="J16" s="99">
        <f t="shared" si="1"/>
        <v>0</v>
      </c>
    </row>
    <row r="17" spans="1:10" ht="30">
      <c r="A17" s="74">
        <v>15</v>
      </c>
      <c r="B17" s="74"/>
      <c r="C17" s="100" t="s">
        <v>60</v>
      </c>
      <c r="D17" s="74" t="s">
        <v>18</v>
      </c>
      <c r="E17" s="88">
        <v>0</v>
      </c>
      <c r="F17" s="85">
        <v>4.7</v>
      </c>
      <c r="G17" s="74">
        <v>0.42099999999999999</v>
      </c>
      <c r="H17" s="74">
        <v>4.18</v>
      </c>
      <c r="I17" s="74">
        <f t="shared" si="0"/>
        <v>0</v>
      </c>
      <c r="J17" s="101">
        <f t="shared" si="1"/>
        <v>0</v>
      </c>
    </row>
    <row r="18" spans="1:10" ht="30">
      <c r="A18" s="74">
        <v>16</v>
      </c>
      <c r="B18" s="74"/>
      <c r="C18" s="100" t="s">
        <v>61</v>
      </c>
      <c r="D18" s="74" t="s">
        <v>18</v>
      </c>
      <c r="E18" s="88">
        <v>0</v>
      </c>
      <c r="F18" s="85">
        <v>4.7</v>
      </c>
      <c r="G18" s="74">
        <v>0.56499999999999995</v>
      </c>
      <c r="H18" s="74">
        <v>4.18</v>
      </c>
      <c r="I18" s="74">
        <f t="shared" si="0"/>
        <v>0</v>
      </c>
      <c r="J18" s="101">
        <f t="shared" si="1"/>
        <v>0</v>
      </c>
    </row>
    <row r="19" spans="1:10" ht="30">
      <c r="A19" s="74">
        <v>17</v>
      </c>
      <c r="B19" s="74"/>
      <c r="C19" s="100" t="s">
        <v>62</v>
      </c>
      <c r="D19" s="74" t="s">
        <v>18</v>
      </c>
      <c r="E19" s="88">
        <v>0</v>
      </c>
      <c r="F19" s="85">
        <v>4.7</v>
      </c>
      <c r="G19" s="74">
        <v>0.41499999999999998</v>
      </c>
      <c r="H19" s="74">
        <v>4.18</v>
      </c>
      <c r="I19" s="74">
        <f t="shared" si="0"/>
        <v>0</v>
      </c>
      <c r="J19" s="101">
        <f t="shared" si="1"/>
        <v>0</v>
      </c>
    </row>
    <row r="20" spans="1:10" ht="30">
      <c r="A20" s="74">
        <v>18</v>
      </c>
      <c r="B20" s="74"/>
      <c r="C20" s="100" t="s">
        <v>62</v>
      </c>
      <c r="D20" s="74" t="s">
        <v>18</v>
      </c>
      <c r="E20" s="88">
        <v>0</v>
      </c>
      <c r="F20" s="85">
        <v>4.7</v>
      </c>
      <c r="G20" s="74">
        <v>0.41499999999999998</v>
      </c>
      <c r="H20" s="74">
        <v>4.18</v>
      </c>
      <c r="I20" s="74">
        <f t="shared" si="0"/>
        <v>0</v>
      </c>
      <c r="J20" s="101">
        <f t="shared" si="1"/>
        <v>0</v>
      </c>
    </row>
    <row r="21" spans="1:10" ht="30">
      <c r="A21" s="74">
        <v>19</v>
      </c>
      <c r="B21" s="74"/>
      <c r="C21" s="100" t="s">
        <v>63</v>
      </c>
      <c r="D21" s="74" t="s">
        <v>18</v>
      </c>
      <c r="E21" s="88">
        <v>0</v>
      </c>
      <c r="F21" s="85">
        <v>4.7</v>
      </c>
      <c r="G21" s="74">
        <v>1.111</v>
      </c>
      <c r="H21" s="74">
        <v>4.4000000000000004</v>
      </c>
      <c r="I21" s="74">
        <f t="shared" si="0"/>
        <v>0</v>
      </c>
      <c r="J21" s="101">
        <f t="shared" si="1"/>
        <v>0</v>
      </c>
    </row>
    <row r="22" spans="1:10" ht="30">
      <c r="A22" s="74">
        <v>20</v>
      </c>
      <c r="B22" s="74"/>
      <c r="C22" s="100" t="s">
        <v>64</v>
      </c>
      <c r="D22" s="74" t="s">
        <v>18</v>
      </c>
      <c r="E22" s="88">
        <v>0</v>
      </c>
      <c r="F22" s="85">
        <v>4.7</v>
      </c>
      <c r="G22" s="74">
        <v>1.915</v>
      </c>
      <c r="H22" s="74">
        <v>4.4000000000000004</v>
      </c>
      <c r="I22" s="74">
        <f t="shared" si="0"/>
        <v>0</v>
      </c>
      <c r="J22" s="101">
        <f t="shared" si="1"/>
        <v>0</v>
      </c>
    </row>
    <row r="23" spans="1:10" ht="30">
      <c r="A23" s="74">
        <v>21</v>
      </c>
      <c r="B23" s="74"/>
      <c r="C23" s="100" t="s">
        <v>65</v>
      </c>
      <c r="D23" s="74" t="s">
        <v>18</v>
      </c>
      <c r="E23" s="88">
        <v>0</v>
      </c>
      <c r="F23" s="85">
        <v>4.7</v>
      </c>
      <c r="G23" s="74">
        <v>0.24099999999999999</v>
      </c>
      <c r="H23" s="74">
        <v>4.4000000000000004</v>
      </c>
      <c r="I23" s="74">
        <f t="shared" si="0"/>
        <v>0</v>
      </c>
      <c r="J23" s="101">
        <f t="shared" si="1"/>
        <v>0</v>
      </c>
    </row>
    <row r="24" spans="1:10" ht="30">
      <c r="A24" s="74">
        <v>22</v>
      </c>
      <c r="B24" s="74"/>
      <c r="C24" s="100" t="s">
        <v>66</v>
      </c>
      <c r="D24" s="74" t="s">
        <v>18</v>
      </c>
      <c r="E24" s="88">
        <v>0</v>
      </c>
      <c r="F24" s="85">
        <v>4.7</v>
      </c>
      <c r="G24" s="74">
        <v>1.962</v>
      </c>
      <c r="H24" s="74">
        <v>4.4000000000000004</v>
      </c>
      <c r="I24" s="74">
        <f t="shared" si="0"/>
        <v>0</v>
      </c>
      <c r="J24" s="101">
        <f t="shared" si="1"/>
        <v>0</v>
      </c>
    </row>
    <row r="25" spans="1:10" ht="30">
      <c r="A25" s="74">
        <v>23</v>
      </c>
      <c r="B25" s="74"/>
      <c r="C25" s="100" t="s">
        <v>67</v>
      </c>
      <c r="D25" s="74" t="s">
        <v>18</v>
      </c>
      <c r="E25" s="88">
        <v>0</v>
      </c>
      <c r="F25" s="85">
        <v>4.7</v>
      </c>
      <c r="G25" s="74">
        <v>1.2929999999999999</v>
      </c>
      <c r="H25" s="74">
        <v>4.4000000000000004</v>
      </c>
      <c r="I25" s="74">
        <f t="shared" si="0"/>
        <v>0</v>
      </c>
      <c r="J25" s="101">
        <f t="shared" si="1"/>
        <v>0</v>
      </c>
    </row>
    <row r="26" spans="1:10" ht="30">
      <c r="A26" s="74">
        <v>24</v>
      </c>
      <c r="B26" s="74"/>
      <c r="C26" s="100" t="s">
        <v>68</v>
      </c>
      <c r="D26" s="74" t="s">
        <v>18</v>
      </c>
      <c r="E26" s="88">
        <v>0</v>
      </c>
      <c r="F26" s="85">
        <v>4.7</v>
      </c>
      <c r="G26" s="74">
        <v>2.6779999999999999</v>
      </c>
      <c r="H26" s="74">
        <v>4.4000000000000004</v>
      </c>
      <c r="I26" s="74">
        <f t="shared" si="0"/>
        <v>0</v>
      </c>
      <c r="J26" s="101">
        <f t="shared" si="1"/>
        <v>0</v>
      </c>
    </row>
    <row r="27" spans="1:10" ht="30">
      <c r="A27" s="74">
        <v>25</v>
      </c>
      <c r="B27" s="74"/>
      <c r="C27" s="100" t="s">
        <v>69</v>
      </c>
      <c r="D27" s="74" t="s">
        <v>18</v>
      </c>
      <c r="E27" s="88">
        <v>0</v>
      </c>
      <c r="F27" s="85">
        <v>4.7</v>
      </c>
      <c r="G27" s="74">
        <v>2.0070000000000001</v>
      </c>
      <c r="H27" s="74">
        <v>4.4000000000000004</v>
      </c>
      <c r="I27" s="74">
        <f t="shared" si="0"/>
        <v>0</v>
      </c>
      <c r="J27" s="101">
        <f t="shared" si="1"/>
        <v>0</v>
      </c>
    </row>
    <row r="28" spans="1:10" ht="30">
      <c r="A28" s="74">
        <v>26</v>
      </c>
      <c r="B28" s="74"/>
      <c r="C28" s="100" t="s">
        <v>70</v>
      </c>
      <c r="D28" s="74" t="s">
        <v>18</v>
      </c>
      <c r="E28" s="88">
        <v>0</v>
      </c>
      <c r="F28" s="85">
        <v>4.7</v>
      </c>
      <c r="G28" s="74">
        <v>0.22600000000000001</v>
      </c>
      <c r="H28" s="74">
        <v>4.18</v>
      </c>
      <c r="I28" s="74">
        <f t="shared" si="0"/>
        <v>0</v>
      </c>
      <c r="J28" s="101">
        <f t="shared" si="1"/>
        <v>0</v>
      </c>
    </row>
    <row r="29" spans="1:10" ht="17.5">
      <c r="A29" s="102"/>
      <c r="B29" s="102"/>
      <c r="C29" s="74"/>
      <c r="D29" s="103"/>
      <c r="E29" s="54"/>
      <c r="F29" s="104"/>
      <c r="G29" s="102"/>
      <c r="H29" s="102"/>
      <c r="I29" s="102">
        <f>SUM(I3:I28)</f>
        <v>611.45040000000006</v>
      </c>
      <c r="J29" s="37">
        <f>SUM(J3:J28)</f>
        <v>2669.1486800000007</v>
      </c>
    </row>
    <row r="30" spans="1:10" ht="15">
      <c r="A30" s="105" t="s">
        <v>71</v>
      </c>
      <c r="B30" s="106"/>
      <c r="C30" s="106"/>
      <c r="D30" s="106"/>
      <c r="E30" s="106"/>
      <c r="F30" s="106"/>
      <c r="G30" s="106"/>
      <c r="H30" s="106"/>
      <c r="I30" s="106"/>
      <c r="J30" s="107"/>
    </row>
    <row r="31" spans="1:10" ht="42">
      <c r="A31" s="102">
        <v>1</v>
      </c>
      <c r="B31" s="108" t="s">
        <v>72</v>
      </c>
      <c r="C31" s="84" t="s">
        <v>22</v>
      </c>
      <c r="D31" s="84" t="s">
        <v>23</v>
      </c>
      <c r="E31" s="84" t="s">
        <v>24</v>
      </c>
      <c r="F31" s="109" t="s">
        <v>25</v>
      </c>
      <c r="G31" s="84" t="s">
        <v>26</v>
      </c>
      <c r="H31" s="84" t="s">
        <v>27</v>
      </c>
      <c r="I31" s="84" t="s">
        <v>28</v>
      </c>
      <c r="J31" s="110" t="s">
        <v>260</v>
      </c>
    </row>
    <row r="32" spans="1:10" ht="45">
      <c r="A32" s="102">
        <v>2</v>
      </c>
      <c r="B32" s="111"/>
      <c r="C32" s="112" t="s">
        <v>73</v>
      </c>
      <c r="D32" s="113"/>
      <c r="E32" s="88"/>
      <c r="F32" s="114"/>
      <c r="G32" s="113"/>
      <c r="H32" s="113">
        <v>10</v>
      </c>
      <c r="I32" s="113"/>
      <c r="J32" s="115"/>
    </row>
    <row r="33" spans="1:10" ht="45">
      <c r="A33" s="102">
        <v>3</v>
      </c>
      <c r="B33" s="111"/>
      <c r="C33" s="112" t="s">
        <v>74</v>
      </c>
      <c r="D33" s="113"/>
      <c r="E33" s="88"/>
      <c r="F33" s="114"/>
      <c r="G33" s="113"/>
      <c r="H33" s="113">
        <v>10</v>
      </c>
      <c r="I33" s="113"/>
      <c r="J33" s="115"/>
    </row>
    <row r="34" spans="1:10" ht="90">
      <c r="A34" s="102">
        <v>4</v>
      </c>
      <c r="B34" s="111"/>
      <c r="C34" s="74" t="s">
        <v>75</v>
      </c>
      <c r="D34" s="116" t="s">
        <v>76</v>
      </c>
      <c r="E34" s="84" t="s">
        <v>77</v>
      </c>
      <c r="F34" s="104">
        <v>1.4794202898550699</v>
      </c>
      <c r="G34" s="102">
        <v>8.58</v>
      </c>
      <c r="H34" s="72">
        <v>86</v>
      </c>
      <c r="I34" s="102">
        <v>3</v>
      </c>
      <c r="J34" s="115">
        <f>F34*H34</f>
        <v>127.23014492753602</v>
      </c>
    </row>
    <row r="35" spans="1:10" ht="60">
      <c r="A35" s="102">
        <v>5</v>
      </c>
      <c r="B35" s="111"/>
      <c r="C35" s="74" t="s">
        <v>78</v>
      </c>
      <c r="D35" s="116" t="s">
        <v>79</v>
      </c>
      <c r="E35" s="84" t="s">
        <v>80</v>
      </c>
      <c r="F35" s="104">
        <v>0.86028985507246403</v>
      </c>
      <c r="G35" s="102">
        <v>4.2300000000000004</v>
      </c>
      <c r="H35" s="102">
        <v>42</v>
      </c>
      <c r="I35" s="102">
        <v>6</v>
      </c>
      <c r="J35" s="115">
        <f>F35*H35</f>
        <v>36.132173913043488</v>
      </c>
    </row>
    <row r="36" spans="1:10" ht="120">
      <c r="A36" s="102">
        <v>6</v>
      </c>
      <c r="B36" s="111"/>
      <c r="C36" s="74" t="s">
        <v>81</v>
      </c>
      <c r="D36" s="116" t="s">
        <v>82</v>
      </c>
      <c r="E36" s="84" t="s">
        <v>77</v>
      </c>
      <c r="F36" s="104">
        <v>2.3188405797101502E-2</v>
      </c>
      <c r="G36" s="102">
        <v>36</v>
      </c>
      <c r="H36" s="102">
        <v>360</v>
      </c>
      <c r="I36" s="102">
        <v>100</v>
      </c>
      <c r="J36" s="115">
        <f t="shared" ref="J36:J81" si="2">F36*H36</f>
        <v>8.347826086956541</v>
      </c>
    </row>
    <row r="37" spans="1:10" ht="180">
      <c r="A37" s="102">
        <v>7</v>
      </c>
      <c r="B37" s="111"/>
      <c r="C37" s="74" t="s">
        <v>83</v>
      </c>
      <c r="D37" s="116" t="s">
        <v>84</v>
      </c>
      <c r="E37" s="84" t="s">
        <v>77</v>
      </c>
      <c r="F37" s="104">
        <v>2.8985507246376802E-2</v>
      </c>
      <c r="G37" s="102">
        <v>28</v>
      </c>
      <c r="H37" s="102">
        <v>280</v>
      </c>
      <c r="I37" s="102">
        <v>50</v>
      </c>
      <c r="J37" s="115">
        <f t="shared" si="2"/>
        <v>8.1159420289855042</v>
      </c>
    </row>
    <row r="38" spans="1:10" ht="60">
      <c r="A38" s="102">
        <v>8</v>
      </c>
      <c r="B38" s="111"/>
      <c r="C38" s="74" t="s">
        <v>85</v>
      </c>
      <c r="D38" s="116" t="s">
        <v>86</v>
      </c>
      <c r="E38" s="84" t="s">
        <v>77</v>
      </c>
      <c r="F38" s="104">
        <v>7.1884057971014506E-2</v>
      </c>
      <c r="G38" s="102">
        <v>17</v>
      </c>
      <c r="H38" s="102">
        <v>170</v>
      </c>
      <c r="I38" s="102">
        <v>20</v>
      </c>
      <c r="J38" s="115">
        <f t="shared" si="2"/>
        <v>12.220289855072465</v>
      </c>
    </row>
    <row r="39" spans="1:10" ht="195">
      <c r="A39" s="102">
        <v>9</v>
      </c>
      <c r="B39" s="111"/>
      <c r="C39" s="74" t="s">
        <v>87</v>
      </c>
      <c r="D39" s="116" t="s">
        <v>88</v>
      </c>
      <c r="E39" s="84" t="s">
        <v>77</v>
      </c>
      <c r="F39" s="104">
        <v>0.28985507246376802</v>
      </c>
      <c r="G39" s="102">
        <v>2</v>
      </c>
      <c r="H39" s="102">
        <v>20</v>
      </c>
      <c r="I39" s="102">
        <v>20</v>
      </c>
      <c r="J39" s="115">
        <f t="shared" si="2"/>
        <v>5.7971014492753605</v>
      </c>
    </row>
    <row r="40" spans="1:10" ht="150">
      <c r="A40" s="102">
        <v>10</v>
      </c>
      <c r="B40" s="111"/>
      <c r="C40" s="74" t="s">
        <v>89</v>
      </c>
      <c r="D40" s="116" t="s">
        <v>90</v>
      </c>
      <c r="E40" s="84" t="s">
        <v>77</v>
      </c>
      <c r="F40" s="104">
        <v>0.18666666666666701</v>
      </c>
      <c r="G40" s="102">
        <v>2</v>
      </c>
      <c r="H40" s="102">
        <v>20</v>
      </c>
      <c r="I40" s="102">
        <v>20</v>
      </c>
      <c r="J40" s="115">
        <f t="shared" si="2"/>
        <v>3.7333333333333401</v>
      </c>
    </row>
    <row r="41" spans="1:10" ht="180">
      <c r="A41" s="102">
        <v>11</v>
      </c>
      <c r="B41" s="111"/>
      <c r="C41" s="74" t="s">
        <v>91</v>
      </c>
      <c r="D41" s="116" t="s">
        <v>92</v>
      </c>
      <c r="E41" s="84" t="s">
        <v>77</v>
      </c>
      <c r="F41" s="104">
        <v>9.6231884057971007E-2</v>
      </c>
      <c r="G41" s="102">
        <v>2</v>
      </c>
      <c r="H41" s="102">
        <v>20</v>
      </c>
      <c r="I41" s="102">
        <v>20</v>
      </c>
      <c r="J41" s="115">
        <f t="shared" si="2"/>
        <v>1.9246376811594201</v>
      </c>
    </row>
    <row r="42" spans="1:10" ht="75">
      <c r="A42" s="102">
        <v>12</v>
      </c>
      <c r="B42" s="111"/>
      <c r="C42" s="74" t="s">
        <v>93</v>
      </c>
      <c r="D42" s="116" t="s">
        <v>94</v>
      </c>
      <c r="E42" s="84" t="s">
        <v>77</v>
      </c>
      <c r="F42" s="104">
        <v>0.19246376811594201</v>
      </c>
      <c r="G42" s="102">
        <v>2</v>
      </c>
      <c r="H42" s="102">
        <v>20</v>
      </c>
      <c r="I42" s="102">
        <v>20</v>
      </c>
      <c r="J42" s="115">
        <f t="shared" si="2"/>
        <v>3.8492753623188403</v>
      </c>
    </row>
    <row r="43" spans="1:10" ht="60">
      <c r="A43" s="102">
        <v>13</v>
      </c>
      <c r="B43" s="111"/>
      <c r="C43" s="74" t="s">
        <v>95</v>
      </c>
      <c r="D43" s="116" t="s">
        <v>96</v>
      </c>
      <c r="E43" s="84" t="s">
        <v>77</v>
      </c>
      <c r="F43" s="104">
        <v>0.173913043478261</v>
      </c>
      <c r="G43" s="102">
        <v>10</v>
      </c>
      <c r="H43" s="102">
        <v>100</v>
      </c>
      <c r="I43" s="102">
        <v>20</v>
      </c>
      <c r="J43" s="115">
        <f t="shared" si="2"/>
        <v>17.3913043478261</v>
      </c>
    </row>
    <row r="44" spans="1:10" ht="135">
      <c r="A44" s="102">
        <v>14</v>
      </c>
      <c r="B44" s="111"/>
      <c r="C44" s="74" t="s">
        <v>97</v>
      </c>
      <c r="D44" s="116" t="s">
        <v>98</v>
      </c>
      <c r="E44" s="84" t="s">
        <v>77</v>
      </c>
      <c r="F44" s="104">
        <v>0.14144927536231899</v>
      </c>
      <c r="G44" s="102">
        <v>2</v>
      </c>
      <c r="H44" s="102">
        <v>20</v>
      </c>
      <c r="I44" s="102">
        <v>1</v>
      </c>
      <c r="J44" s="115">
        <f t="shared" si="2"/>
        <v>2.8289855072463799</v>
      </c>
    </row>
    <row r="45" spans="1:10" ht="135">
      <c r="A45" s="102">
        <v>15</v>
      </c>
      <c r="B45" s="111"/>
      <c r="C45" s="74" t="s">
        <v>99</v>
      </c>
      <c r="D45" s="116" t="s">
        <v>100</v>
      </c>
      <c r="E45" s="84" t="s">
        <v>77</v>
      </c>
      <c r="F45" s="104">
        <v>0.15072463768115901</v>
      </c>
      <c r="G45" s="102">
        <v>6</v>
      </c>
      <c r="H45" s="102">
        <v>60</v>
      </c>
      <c r="I45" s="102">
        <v>1</v>
      </c>
      <c r="J45" s="115">
        <f t="shared" si="2"/>
        <v>9.0434782608695414</v>
      </c>
    </row>
    <row r="46" spans="1:10" ht="135">
      <c r="A46" s="102">
        <v>16</v>
      </c>
      <c r="B46" s="111"/>
      <c r="C46" s="74" t="s">
        <v>101</v>
      </c>
      <c r="D46" s="116" t="s">
        <v>102</v>
      </c>
      <c r="E46" s="84" t="s">
        <v>77</v>
      </c>
      <c r="F46" s="104">
        <v>4.9855072463768101E-2</v>
      </c>
      <c r="G46" s="102">
        <v>16</v>
      </c>
      <c r="H46" s="102">
        <v>160</v>
      </c>
      <c r="I46" s="102">
        <v>20</v>
      </c>
      <c r="J46" s="115">
        <f t="shared" si="2"/>
        <v>7.9768115942028963</v>
      </c>
    </row>
    <row r="47" spans="1:10" ht="105">
      <c r="A47" s="102">
        <v>17</v>
      </c>
      <c r="B47" s="111"/>
      <c r="C47" s="74" t="s">
        <v>103</v>
      </c>
      <c r="D47" s="116" t="s">
        <v>104</v>
      </c>
      <c r="E47" s="84" t="s">
        <v>77</v>
      </c>
      <c r="F47" s="104">
        <v>0.266666666666667</v>
      </c>
      <c r="G47" s="102">
        <v>4</v>
      </c>
      <c r="H47" s="102">
        <v>40</v>
      </c>
      <c r="I47" s="102">
        <v>1</v>
      </c>
      <c r="J47" s="115">
        <f t="shared" si="2"/>
        <v>10.66666666666668</v>
      </c>
    </row>
    <row r="48" spans="1:10" ht="180">
      <c r="A48" s="102">
        <v>18</v>
      </c>
      <c r="B48" s="111"/>
      <c r="C48" s="74" t="s">
        <v>105</v>
      </c>
      <c r="D48" s="116" t="s">
        <v>106</v>
      </c>
      <c r="E48" s="84" t="s">
        <v>77</v>
      </c>
      <c r="F48" s="104">
        <v>8.6956521739130405E-2</v>
      </c>
      <c r="G48" s="102">
        <v>2</v>
      </c>
      <c r="H48" s="102">
        <v>20</v>
      </c>
      <c r="I48" s="102">
        <v>20</v>
      </c>
      <c r="J48" s="115">
        <f t="shared" si="2"/>
        <v>1.739130434782608</v>
      </c>
    </row>
    <row r="49" spans="1:10" ht="60">
      <c r="A49" s="102">
        <v>19</v>
      </c>
      <c r="B49" s="111"/>
      <c r="C49" s="74" t="s">
        <v>107</v>
      </c>
      <c r="D49" s="116" t="s">
        <v>108</v>
      </c>
      <c r="E49" s="84" t="s">
        <v>77</v>
      </c>
      <c r="F49" s="104">
        <v>0.104347826086957</v>
      </c>
      <c r="G49" s="102">
        <v>8</v>
      </c>
      <c r="H49" s="102">
        <v>80</v>
      </c>
      <c r="I49" s="102">
        <v>20</v>
      </c>
      <c r="J49" s="115">
        <f t="shared" si="2"/>
        <v>8.3478260869565606</v>
      </c>
    </row>
    <row r="50" spans="1:10" ht="60">
      <c r="A50" s="102">
        <v>20</v>
      </c>
      <c r="B50" s="111"/>
      <c r="C50" s="74" t="s">
        <v>109</v>
      </c>
      <c r="D50" s="116" t="s">
        <v>110</v>
      </c>
      <c r="E50" s="84" t="s">
        <v>77</v>
      </c>
      <c r="F50" s="104">
        <v>0.115942028985507</v>
      </c>
      <c r="G50" s="102">
        <v>8</v>
      </c>
      <c r="H50" s="102">
        <v>80</v>
      </c>
      <c r="I50" s="102">
        <v>20</v>
      </c>
      <c r="J50" s="115">
        <f t="shared" si="2"/>
        <v>9.2753623188405605</v>
      </c>
    </row>
    <row r="51" spans="1:10" ht="45">
      <c r="A51" s="102">
        <v>21</v>
      </c>
      <c r="B51" s="111"/>
      <c r="C51" s="74" t="s">
        <v>111</v>
      </c>
      <c r="D51" s="116" t="s">
        <v>112</v>
      </c>
      <c r="E51" s="84" t="s">
        <v>77</v>
      </c>
      <c r="F51" s="104">
        <v>0.104347826086957</v>
      </c>
      <c r="G51" s="102">
        <v>12</v>
      </c>
      <c r="H51" s="102">
        <v>120</v>
      </c>
      <c r="I51" s="102">
        <v>20</v>
      </c>
      <c r="J51" s="115">
        <f t="shared" si="2"/>
        <v>12.52173913043484</v>
      </c>
    </row>
    <row r="52" spans="1:10" ht="45">
      <c r="A52" s="102">
        <v>22</v>
      </c>
      <c r="B52" s="111"/>
      <c r="C52" s="74" t="s">
        <v>113</v>
      </c>
      <c r="D52" s="116" t="s">
        <v>114</v>
      </c>
      <c r="E52" s="84" t="s">
        <v>77</v>
      </c>
      <c r="F52" s="104">
        <v>4.1739130434782598E-2</v>
      </c>
      <c r="G52" s="102">
        <v>12</v>
      </c>
      <c r="H52" s="102">
        <v>120</v>
      </c>
      <c r="I52" s="102">
        <v>20</v>
      </c>
      <c r="J52" s="115">
        <f t="shared" si="2"/>
        <v>5.0086956521739117</v>
      </c>
    </row>
    <row r="53" spans="1:10" ht="75">
      <c r="A53" s="102">
        <v>23</v>
      </c>
      <c r="B53" s="111"/>
      <c r="C53" s="74" t="s">
        <v>115</v>
      </c>
      <c r="D53" s="116" t="s">
        <v>116</v>
      </c>
      <c r="E53" s="84" t="s">
        <v>77</v>
      </c>
      <c r="F53" s="104">
        <v>5.7971014492753603E-2</v>
      </c>
      <c r="G53" s="102">
        <v>32</v>
      </c>
      <c r="H53" s="102">
        <v>320</v>
      </c>
      <c r="I53" s="102">
        <v>20</v>
      </c>
      <c r="J53" s="115">
        <f t="shared" si="2"/>
        <v>18.550724637681153</v>
      </c>
    </row>
    <row r="54" spans="1:10" ht="105">
      <c r="A54" s="102">
        <v>24</v>
      </c>
      <c r="B54" s="111"/>
      <c r="C54" s="74" t="s">
        <v>117</v>
      </c>
      <c r="D54" s="116" t="s">
        <v>118</v>
      </c>
      <c r="E54" s="84" t="s">
        <v>119</v>
      </c>
      <c r="F54" s="104">
        <v>0.60753623188405803</v>
      </c>
      <c r="G54" s="102">
        <v>8</v>
      </c>
      <c r="H54" s="102">
        <v>80</v>
      </c>
      <c r="I54" s="102">
        <v>20</v>
      </c>
      <c r="J54" s="115">
        <f t="shared" si="2"/>
        <v>48.602898550724646</v>
      </c>
    </row>
    <row r="55" spans="1:10" ht="60">
      <c r="A55" s="102">
        <v>25</v>
      </c>
      <c r="B55" s="111"/>
      <c r="C55" s="74" t="s">
        <v>120</v>
      </c>
      <c r="D55" s="116" t="s">
        <v>121</v>
      </c>
      <c r="E55" s="84" t="s">
        <v>119</v>
      </c>
      <c r="F55" s="104">
        <v>0.60289855072463805</v>
      </c>
      <c r="G55" s="102">
        <v>4</v>
      </c>
      <c r="H55" s="102">
        <v>40</v>
      </c>
      <c r="I55" s="102">
        <v>20</v>
      </c>
      <c r="J55" s="115">
        <f t="shared" si="2"/>
        <v>24.115942028985522</v>
      </c>
    </row>
    <row r="56" spans="1:10" ht="60">
      <c r="A56" s="102">
        <v>26</v>
      </c>
      <c r="B56" s="111"/>
      <c r="C56" s="74" t="s">
        <v>120</v>
      </c>
      <c r="D56" s="116" t="s">
        <v>122</v>
      </c>
      <c r="E56" s="84" t="s">
        <v>119</v>
      </c>
      <c r="F56" s="104">
        <v>0.49855072463768102</v>
      </c>
      <c r="G56" s="102">
        <v>4</v>
      </c>
      <c r="H56" s="102">
        <v>40</v>
      </c>
      <c r="I56" s="102">
        <v>1</v>
      </c>
      <c r="J56" s="115">
        <f t="shared" si="2"/>
        <v>19.942028985507243</v>
      </c>
    </row>
    <row r="57" spans="1:10" ht="135">
      <c r="A57" s="102">
        <v>27</v>
      </c>
      <c r="B57" s="111"/>
      <c r="C57" s="74" t="s">
        <v>123</v>
      </c>
      <c r="D57" s="116" t="s">
        <v>124</v>
      </c>
      <c r="E57" s="84" t="s">
        <v>119</v>
      </c>
      <c r="F57" s="104">
        <v>0.35942028985507302</v>
      </c>
      <c r="G57" s="102">
        <v>4</v>
      </c>
      <c r="H57" s="102">
        <v>40</v>
      </c>
      <c r="I57" s="102">
        <v>20</v>
      </c>
      <c r="J57" s="115">
        <f t="shared" si="2"/>
        <v>14.37681159420292</v>
      </c>
    </row>
    <row r="58" spans="1:10" ht="135">
      <c r="A58" s="102">
        <v>28</v>
      </c>
      <c r="B58" s="111"/>
      <c r="C58" s="74" t="s">
        <v>123</v>
      </c>
      <c r="D58" s="116" t="s">
        <v>125</v>
      </c>
      <c r="E58" s="84" t="s">
        <v>119</v>
      </c>
      <c r="F58" s="104">
        <v>0.35942028985507302</v>
      </c>
      <c r="G58" s="102">
        <v>4</v>
      </c>
      <c r="H58" s="102">
        <v>40</v>
      </c>
      <c r="I58" s="102">
        <v>20</v>
      </c>
      <c r="J58" s="115">
        <f t="shared" si="2"/>
        <v>14.37681159420292</v>
      </c>
    </row>
    <row r="59" spans="1:10" ht="150">
      <c r="A59" s="102">
        <v>29</v>
      </c>
      <c r="B59" s="111"/>
      <c r="C59" s="74" t="s">
        <v>126</v>
      </c>
      <c r="D59" s="116" t="s">
        <v>127</v>
      </c>
      <c r="E59" s="84" t="s">
        <v>119</v>
      </c>
      <c r="F59" s="104">
        <v>0.25971014492753602</v>
      </c>
      <c r="G59" s="102">
        <v>8</v>
      </c>
      <c r="H59" s="102">
        <v>80</v>
      </c>
      <c r="I59" s="102">
        <v>20</v>
      </c>
      <c r="J59" s="115">
        <f t="shared" si="2"/>
        <v>20.776811594202883</v>
      </c>
    </row>
    <row r="60" spans="1:10" ht="75">
      <c r="A60" s="102">
        <v>30</v>
      </c>
      <c r="B60" s="111"/>
      <c r="C60" s="74" t="s">
        <v>128</v>
      </c>
      <c r="D60" s="116" t="s">
        <v>129</v>
      </c>
      <c r="E60" s="84" t="s">
        <v>119</v>
      </c>
      <c r="F60" s="104">
        <v>0.22028985507246401</v>
      </c>
      <c r="G60" s="102">
        <v>16</v>
      </c>
      <c r="H60" s="102">
        <v>160</v>
      </c>
      <c r="I60" s="102">
        <v>20</v>
      </c>
      <c r="J60" s="115">
        <f t="shared" si="2"/>
        <v>35.246376811594246</v>
      </c>
    </row>
    <row r="61" spans="1:10" ht="135">
      <c r="A61" s="102">
        <v>31</v>
      </c>
      <c r="B61" s="111"/>
      <c r="C61" s="74" t="s">
        <v>130</v>
      </c>
      <c r="D61" s="116" t="s">
        <v>131</v>
      </c>
      <c r="E61" s="84" t="s">
        <v>119</v>
      </c>
      <c r="F61" s="104">
        <v>0.32463768115941999</v>
      </c>
      <c r="G61" s="102">
        <v>8</v>
      </c>
      <c r="H61" s="102">
        <v>80</v>
      </c>
      <c r="I61" s="102">
        <v>20</v>
      </c>
      <c r="J61" s="115">
        <f t="shared" si="2"/>
        <v>25.9710144927536</v>
      </c>
    </row>
    <row r="62" spans="1:10" ht="135">
      <c r="A62" s="102">
        <v>32</v>
      </c>
      <c r="B62" s="111"/>
      <c r="C62" s="74" t="s">
        <v>132</v>
      </c>
      <c r="D62" s="116" t="s">
        <v>133</v>
      </c>
      <c r="E62" s="84" t="s">
        <v>119</v>
      </c>
      <c r="F62" s="104">
        <v>0.405797101449275</v>
      </c>
      <c r="G62" s="102">
        <v>4</v>
      </c>
      <c r="H62" s="102">
        <v>40</v>
      </c>
      <c r="I62" s="102">
        <v>20</v>
      </c>
      <c r="J62" s="115">
        <f t="shared" si="2"/>
        <v>16.231884057971001</v>
      </c>
    </row>
    <row r="63" spans="1:10" ht="60">
      <c r="A63" s="102">
        <v>33</v>
      </c>
      <c r="B63" s="111"/>
      <c r="C63" s="74" t="s">
        <v>134</v>
      </c>
      <c r="D63" s="116" t="s">
        <v>135</v>
      </c>
      <c r="E63" s="84" t="s">
        <v>119</v>
      </c>
      <c r="F63" s="104">
        <v>6.1449275362318798E-2</v>
      </c>
      <c r="G63" s="102">
        <v>24</v>
      </c>
      <c r="H63" s="102">
        <v>240</v>
      </c>
      <c r="I63" s="102">
        <v>20</v>
      </c>
      <c r="J63" s="115">
        <f t="shared" si="2"/>
        <v>14.747826086956511</v>
      </c>
    </row>
    <row r="64" spans="1:10" ht="60">
      <c r="A64" s="102">
        <v>34</v>
      </c>
      <c r="B64" s="111"/>
      <c r="C64" s="74" t="s">
        <v>136</v>
      </c>
      <c r="D64" s="116" t="s">
        <v>137</v>
      </c>
      <c r="E64" s="84" t="s">
        <v>119</v>
      </c>
      <c r="F64" s="104">
        <v>4.9855072463768101E-2</v>
      </c>
      <c r="G64" s="102">
        <v>4</v>
      </c>
      <c r="H64" s="102">
        <v>40</v>
      </c>
      <c r="I64" s="102">
        <v>20</v>
      </c>
      <c r="J64" s="115">
        <f t="shared" si="2"/>
        <v>1.9942028985507241</v>
      </c>
    </row>
    <row r="65" spans="1:10" ht="75">
      <c r="A65" s="102">
        <v>35</v>
      </c>
      <c r="B65" s="111"/>
      <c r="C65" s="74" t="s">
        <v>138</v>
      </c>
      <c r="D65" s="116" t="s">
        <v>139</v>
      </c>
      <c r="E65" s="84" t="s">
        <v>119</v>
      </c>
      <c r="F65" s="104">
        <v>3.3623188405797103E-2</v>
      </c>
      <c r="G65" s="102">
        <v>16</v>
      </c>
      <c r="H65" s="102">
        <v>160</v>
      </c>
      <c r="I65" s="102">
        <v>10</v>
      </c>
      <c r="J65" s="115">
        <f t="shared" si="2"/>
        <v>5.379710144927536</v>
      </c>
    </row>
    <row r="66" spans="1:10" ht="150">
      <c r="A66" s="102">
        <v>36</v>
      </c>
      <c r="B66" s="111"/>
      <c r="C66" s="74" t="s">
        <v>140</v>
      </c>
      <c r="D66" s="116" t="s">
        <v>141</v>
      </c>
      <c r="E66" s="84" t="s">
        <v>80</v>
      </c>
      <c r="F66" s="104">
        <v>9.2753623188405795E-3</v>
      </c>
      <c r="G66" s="102">
        <v>36</v>
      </c>
      <c r="H66" s="102">
        <v>500</v>
      </c>
      <c r="I66" s="102">
        <v>100</v>
      </c>
      <c r="J66" s="115">
        <f t="shared" si="2"/>
        <v>4.63768115942029</v>
      </c>
    </row>
    <row r="67" spans="1:10" ht="150">
      <c r="A67" s="102">
        <v>37</v>
      </c>
      <c r="B67" s="111"/>
      <c r="C67" s="74" t="s">
        <v>142</v>
      </c>
      <c r="D67" s="116" t="s">
        <v>143</v>
      </c>
      <c r="E67" s="84" t="s">
        <v>80</v>
      </c>
      <c r="F67" s="104">
        <v>1.6231884057971002E-2</v>
      </c>
      <c r="G67" s="102">
        <v>9</v>
      </c>
      <c r="H67" s="102">
        <v>500</v>
      </c>
      <c r="I67" s="102">
        <v>100</v>
      </c>
      <c r="J67" s="115">
        <f t="shared" si="2"/>
        <v>8.1159420289855007</v>
      </c>
    </row>
    <row r="68" spans="1:10" ht="165">
      <c r="A68" s="102">
        <v>38</v>
      </c>
      <c r="B68" s="111"/>
      <c r="C68" s="74" t="s">
        <v>144</v>
      </c>
      <c r="D68" s="116" t="s">
        <v>145</v>
      </c>
      <c r="E68" s="84" t="s">
        <v>80</v>
      </c>
      <c r="F68" s="104">
        <v>1.04347826086957E-2</v>
      </c>
      <c r="G68" s="102">
        <v>24</v>
      </c>
      <c r="H68" s="102">
        <v>500</v>
      </c>
      <c r="I68" s="102">
        <v>100</v>
      </c>
      <c r="J68" s="115">
        <f t="shared" si="2"/>
        <v>5.2173913043478501</v>
      </c>
    </row>
    <row r="69" spans="1:10" ht="165">
      <c r="A69" s="102">
        <v>39</v>
      </c>
      <c r="B69" s="111"/>
      <c r="C69" s="74" t="s">
        <v>144</v>
      </c>
      <c r="D69" s="116" t="s">
        <v>146</v>
      </c>
      <c r="E69" s="84" t="s">
        <v>80</v>
      </c>
      <c r="F69" s="104">
        <v>1.04347826086957E-2</v>
      </c>
      <c r="G69" s="102">
        <v>2</v>
      </c>
      <c r="H69" s="102">
        <v>500</v>
      </c>
      <c r="I69" s="102">
        <v>100</v>
      </c>
      <c r="J69" s="115">
        <f t="shared" si="2"/>
        <v>5.2173913043478501</v>
      </c>
    </row>
    <row r="70" spans="1:10" ht="165">
      <c r="A70" s="102">
        <v>40</v>
      </c>
      <c r="B70" s="111"/>
      <c r="C70" s="74" t="s">
        <v>147</v>
      </c>
      <c r="D70" s="116" t="s">
        <v>148</v>
      </c>
      <c r="E70" s="84" t="s">
        <v>80</v>
      </c>
      <c r="F70" s="104">
        <v>1.8550724637681201E-2</v>
      </c>
      <c r="G70" s="102">
        <v>4</v>
      </c>
      <c r="H70" s="102">
        <v>500</v>
      </c>
      <c r="I70" s="102">
        <v>50</v>
      </c>
      <c r="J70" s="115">
        <f t="shared" si="2"/>
        <v>9.2753623188405996</v>
      </c>
    </row>
    <row r="71" spans="1:10" ht="60">
      <c r="A71" s="102">
        <v>41</v>
      </c>
      <c r="B71" s="111"/>
      <c r="C71" s="74" t="s">
        <v>149</v>
      </c>
      <c r="D71" s="116" t="s">
        <v>150</v>
      </c>
      <c r="E71" s="84" t="s">
        <v>151</v>
      </c>
      <c r="F71" s="104">
        <v>0.44057971014492803</v>
      </c>
      <c r="G71" s="102">
        <v>4</v>
      </c>
      <c r="H71" s="102">
        <v>40</v>
      </c>
      <c r="I71" s="102">
        <v>1</v>
      </c>
      <c r="J71" s="115">
        <f t="shared" si="2"/>
        <v>17.623188405797123</v>
      </c>
    </row>
    <row r="72" spans="1:10" ht="105">
      <c r="A72" s="102">
        <v>42</v>
      </c>
      <c r="B72" s="111"/>
      <c r="C72" s="74" t="s">
        <v>152</v>
      </c>
      <c r="D72" s="116" t="s">
        <v>153</v>
      </c>
      <c r="E72" s="84" t="s">
        <v>77</v>
      </c>
      <c r="F72" s="104">
        <v>0.24347826086956501</v>
      </c>
      <c r="G72" s="102">
        <v>16.440000000000001</v>
      </c>
      <c r="H72" s="102">
        <v>480</v>
      </c>
      <c r="I72" s="102">
        <v>480</v>
      </c>
      <c r="J72" s="115">
        <f t="shared" si="2"/>
        <v>116.8695652173912</v>
      </c>
    </row>
    <row r="73" spans="1:10" ht="45">
      <c r="A73" s="102"/>
      <c r="B73" s="111"/>
      <c r="C73" s="74" t="s">
        <v>154</v>
      </c>
      <c r="D73" s="116" t="s">
        <v>51</v>
      </c>
      <c r="E73" s="84" t="s">
        <v>77</v>
      </c>
      <c r="F73" s="104">
        <v>0.197101449275362</v>
      </c>
      <c r="G73" s="102">
        <v>26.71</v>
      </c>
      <c r="H73" s="102">
        <v>480</v>
      </c>
      <c r="I73" s="102">
        <v>240</v>
      </c>
      <c r="J73" s="115">
        <f t="shared" si="2"/>
        <v>94.608695652173765</v>
      </c>
    </row>
    <row r="74" spans="1:10" ht="60">
      <c r="A74" s="102"/>
      <c r="B74" s="111"/>
      <c r="C74" s="74" t="s">
        <v>155</v>
      </c>
      <c r="D74" s="116" t="s">
        <v>52</v>
      </c>
      <c r="E74" s="84" t="s">
        <v>77</v>
      </c>
      <c r="F74" s="104">
        <v>0.30376811594202902</v>
      </c>
      <c r="G74" s="102">
        <v>12.43</v>
      </c>
      <c r="H74" s="102">
        <v>320</v>
      </c>
      <c r="I74" s="102">
        <v>320</v>
      </c>
      <c r="J74" s="115">
        <f t="shared" si="2"/>
        <v>97.205797101449292</v>
      </c>
    </row>
    <row r="75" spans="1:10" ht="60">
      <c r="A75" s="102"/>
      <c r="B75" s="111"/>
      <c r="C75" s="74" t="s">
        <v>155</v>
      </c>
      <c r="D75" s="116" t="s">
        <v>156</v>
      </c>
      <c r="E75" s="84" t="s">
        <v>77</v>
      </c>
      <c r="F75" s="104">
        <v>0.32463768115941999</v>
      </c>
      <c r="G75" s="102">
        <v>14.28</v>
      </c>
      <c r="H75" s="102">
        <v>240</v>
      </c>
      <c r="I75" s="102">
        <v>240</v>
      </c>
      <c r="J75" s="115">
        <f t="shared" si="2"/>
        <v>77.913043478260803</v>
      </c>
    </row>
    <row r="76" spans="1:10" ht="45">
      <c r="A76" s="102"/>
      <c r="B76" s="111"/>
      <c r="C76" s="74" t="s">
        <v>157</v>
      </c>
      <c r="D76" s="116" t="s">
        <v>158</v>
      </c>
      <c r="E76" s="84" t="s">
        <v>77</v>
      </c>
      <c r="F76" s="104">
        <v>8.5797101449275395E-2</v>
      </c>
      <c r="G76" s="102">
        <v>1</v>
      </c>
      <c r="H76" s="102">
        <v>500</v>
      </c>
      <c r="I76" s="102">
        <v>500</v>
      </c>
      <c r="J76" s="115">
        <f t="shared" si="2"/>
        <v>42.898550724637701</v>
      </c>
    </row>
    <row r="77" spans="1:10" ht="45">
      <c r="A77" s="102"/>
      <c r="B77" s="111"/>
      <c r="C77" s="74" t="s">
        <v>159</v>
      </c>
      <c r="D77" s="116" t="s">
        <v>160</v>
      </c>
      <c r="E77" s="84" t="s">
        <v>77</v>
      </c>
      <c r="F77" s="104">
        <v>0.31304347826086998</v>
      </c>
      <c r="G77" s="102">
        <v>4.67</v>
      </c>
      <c r="H77" s="102">
        <v>260</v>
      </c>
      <c r="I77" s="102">
        <v>260</v>
      </c>
      <c r="J77" s="115">
        <f t="shared" si="2"/>
        <v>81.391304347826193</v>
      </c>
    </row>
    <row r="78" spans="1:10" ht="28">
      <c r="A78" s="102"/>
      <c r="B78" s="111"/>
      <c r="C78" s="74" t="s">
        <v>161</v>
      </c>
      <c r="D78" s="116" t="s">
        <v>162</v>
      </c>
      <c r="E78" s="84" t="s">
        <v>77</v>
      </c>
      <c r="F78" s="104">
        <v>0.133333333333333</v>
      </c>
      <c r="G78" s="102">
        <v>8.67</v>
      </c>
      <c r="H78" s="102">
        <v>100</v>
      </c>
      <c r="I78" s="102">
        <v>332</v>
      </c>
      <c r="J78" s="115">
        <f t="shared" si="2"/>
        <v>13.3333333333333</v>
      </c>
    </row>
    <row r="79" spans="1:10" ht="28">
      <c r="A79" s="102"/>
      <c r="B79" s="111"/>
      <c r="C79" s="74" t="s">
        <v>161</v>
      </c>
      <c r="D79" s="116" t="s">
        <v>163</v>
      </c>
      <c r="E79" s="84" t="s">
        <v>77</v>
      </c>
      <c r="F79" s="104">
        <v>0.88115942028985506</v>
      </c>
      <c r="G79" s="102">
        <v>2.14</v>
      </c>
      <c r="H79" s="102">
        <v>100</v>
      </c>
      <c r="I79" s="102">
        <v>100</v>
      </c>
      <c r="J79" s="115">
        <f t="shared" si="2"/>
        <v>88.115942028985501</v>
      </c>
    </row>
    <row r="80" spans="1:10" ht="30">
      <c r="A80" s="102"/>
      <c r="B80" s="111"/>
      <c r="C80" s="74" t="s">
        <v>159</v>
      </c>
      <c r="D80" s="116" t="s">
        <v>164</v>
      </c>
      <c r="E80" s="84" t="s">
        <v>77</v>
      </c>
      <c r="F80" s="104">
        <v>0.17971014492753601</v>
      </c>
      <c r="G80" s="102">
        <v>8.58</v>
      </c>
      <c r="H80" s="102">
        <v>260</v>
      </c>
      <c r="I80" s="102">
        <v>260</v>
      </c>
      <c r="J80" s="115">
        <f t="shared" si="2"/>
        <v>46.724637681159365</v>
      </c>
    </row>
    <row r="81" spans="1:10" ht="45">
      <c r="A81" s="102"/>
      <c r="B81" s="111"/>
      <c r="C81" s="74" t="s">
        <v>165</v>
      </c>
      <c r="D81" s="116" t="s">
        <v>166</v>
      </c>
      <c r="E81" s="84" t="s">
        <v>77</v>
      </c>
      <c r="F81" s="104">
        <v>0.28753623188405802</v>
      </c>
      <c r="G81" s="102">
        <v>18.97</v>
      </c>
      <c r="H81" s="102">
        <v>300</v>
      </c>
      <c r="I81" s="102">
        <v>300</v>
      </c>
      <c r="J81" s="115">
        <f t="shared" si="2"/>
        <v>86.260869565217405</v>
      </c>
    </row>
    <row r="82" spans="1:10">
      <c r="A82" s="63" t="s">
        <v>167</v>
      </c>
      <c r="B82" s="64"/>
      <c r="C82" s="64"/>
      <c r="D82" s="64"/>
      <c r="E82" s="64"/>
      <c r="F82" s="64"/>
      <c r="G82" s="64"/>
      <c r="H82" s="64"/>
      <c r="I82" s="64"/>
      <c r="J82" s="37">
        <f>SUM(J31:J81)</f>
        <v>1347.8724637681157</v>
      </c>
    </row>
  </sheetData>
  <mergeCells count="3">
    <mergeCell ref="A1:J1"/>
    <mergeCell ref="A30:J30"/>
    <mergeCell ref="A82:I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ES52Window</vt:lpstr>
      <vt:lpstr>ES52HingeDoor</vt:lpstr>
      <vt:lpstr>ES127SlidingDoor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Green</dc:creator>
  <cp:lastModifiedBy>Adam Green</cp:lastModifiedBy>
  <dcterms:created xsi:type="dcterms:W3CDTF">2026-03-01T19:59:06Z</dcterms:created>
  <dcterms:modified xsi:type="dcterms:W3CDTF">2026-03-01T22:14:31Z</dcterms:modified>
</cp:coreProperties>
</file>